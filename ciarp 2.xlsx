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os aprobados_2026" sheetId="1" r:id="rId5"/>
    <sheet state="visible" name="Titulo" sheetId="2" r:id="rId6"/>
    <sheet state="visible" name="Pub_Rev_Index" sheetId="3" r:id="rId7"/>
    <sheet state="visible" name="Libro_Ensayo" sheetId="4" r:id="rId8"/>
    <sheet state="visible" name="Libro_Texto" sheetId="5" r:id="rId9"/>
    <sheet state="visible" name="Premio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16">
      <text>
        <t xml:space="preserve">Decreto 1279 de 2002, Artículo 10, literal B … Para los reportes de caso o revisiones de tema o cartas al editor o editoriales, publicados en revistas especializadas indexadas u homologadas por Colciencias, se asigna el 30% del puntaje según su nivel y clasificación;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3">
      <text>
        <t xml:space="preserve">g) Premios nacionales e internacionales
Se pueden reconocer puntos por los premios internacionales o nacionales otorgados por instituciones de reconocido prestigio académico, científico, técnico o artístico a obras o trabajos realizados por docentes de la universidad respectiva, dentro de sus labores universitarias.
Para efectos del reconocimiento de los puntos de que trata el presente literal, los premios deben corresponder a una convocatoria nacional o internacional y tener un proceso de selección claramente instituido y por una entidad de reconocido prestigio en el nivel nacional o internacional.
Si el premio tiene diversas categorías o niveles, se gradúan los topes con base en las jerarquías del premio.
Los premios o distinciones que confiere la propia universidad sólo se reconocen cuando media una convocatoria pública nacional o internacional;
</t>
      </text>
    </comment>
  </commentList>
</comments>
</file>

<file path=xl/sharedStrings.xml><?xml version="1.0" encoding="utf-8"?>
<sst xmlns="http://schemas.openxmlformats.org/spreadsheetml/2006/main" count="715" uniqueCount="277">
  <si>
    <t>Factores Salariales
Decreto 1279, artículo 12</t>
  </si>
  <si>
    <t>Productividad académica</t>
  </si>
  <si>
    <t>No. de productos</t>
  </si>
  <si>
    <t>Puntos asignados CIARP 02- 04/06/2026</t>
  </si>
  <si>
    <t>Título universitarios de pregrado y posgrado</t>
  </si>
  <si>
    <t xml:space="preserve">Ascenso de categoría - escalafón docente </t>
  </si>
  <si>
    <t>Revistas especializadas</t>
  </si>
  <si>
    <t>Producción de videos, cinematográficas o fonográficas</t>
  </si>
  <si>
    <t>Libros resultado de Investigación</t>
  </si>
  <si>
    <t>Libros de Texto</t>
  </si>
  <si>
    <t>Libros de Ensayo</t>
  </si>
  <si>
    <t>Premios Nacionales e internacionales</t>
  </si>
  <si>
    <t>Patentes</t>
  </si>
  <si>
    <t>Traducciones de libros</t>
  </si>
  <si>
    <t>Obras Artísticas</t>
  </si>
  <si>
    <t>Producción Técnica</t>
  </si>
  <si>
    <t>Producción de Software</t>
  </si>
  <si>
    <t>Actividades académico - administrativas</t>
  </si>
  <si>
    <t>Desempeño destacado docente</t>
  </si>
  <si>
    <t>Experiencia Calificada</t>
  </si>
  <si>
    <t>Total</t>
  </si>
  <si>
    <t>Total puntos Productividad académica</t>
  </si>
  <si>
    <t>AÑO</t>
  </si>
  <si>
    <t>SEMESTRE</t>
  </si>
  <si>
    <t>No.</t>
  </si>
  <si>
    <t>DOCUMENTO DE IDENTIDAD</t>
  </si>
  <si>
    <t>NOMBRE DEL DOCENTE</t>
  </si>
  <si>
    <t>ESCOLARIDAD ANTERIOR</t>
  </si>
  <si>
    <t>CATEGORÍA</t>
  </si>
  <si>
    <t>TIEMPO DE 
DEDICACIÓN</t>
  </si>
  <si>
    <t>PROGRAMA ACADÉMICO</t>
  </si>
  <si>
    <t>FACULTAD</t>
  </si>
  <si>
    <t>UNIVERSIDAD QUE OTORGA EL TÍTULO</t>
  </si>
  <si>
    <t>TITULO OTORGADO</t>
  </si>
  <si>
    <t>Acto de Convalidación
(Para títulos Univ.del Ext.)</t>
  </si>
  <si>
    <t>FECHA GRADUACIÓN</t>
  </si>
  <si>
    <t>PUNTOS ASIGNADOS</t>
  </si>
  <si>
    <t>ACTA Y FECHA CIARP</t>
  </si>
  <si>
    <t>OBSERVACIONES</t>
  </si>
  <si>
    <t>I</t>
  </si>
  <si>
    <t xml:space="preserve">CAROLINA BERMUDEZ RESTREPO  </t>
  </si>
  <si>
    <t>Magister</t>
  </si>
  <si>
    <t>Auxiliar</t>
  </si>
  <si>
    <t>TC</t>
  </si>
  <si>
    <t>Administración de Negocios</t>
  </si>
  <si>
    <t>Ciencias Económicas, Administrativas y Contables</t>
  </si>
  <si>
    <t>Universidad de Manizales</t>
  </si>
  <si>
    <t>Doctora en Desarrollo Sostenible</t>
  </si>
  <si>
    <t>N/A</t>
  </si>
  <si>
    <t>2- 04/06/2026</t>
  </si>
  <si>
    <t>TOTAL PUNTOS TÍTULOS</t>
  </si>
  <si>
    <t>__________________________________</t>
  </si>
  <si>
    <t>_______________________________</t>
  </si>
  <si>
    <t>LINA MARCELA CRUZ CALDERÓN</t>
  </si>
  <si>
    <t>LUZ AMPARO CELIS BURITICÁ</t>
  </si>
  <si>
    <t>Técnico Oficina de Asuntos Profesorales</t>
  </si>
  <si>
    <t>Jefe Oficina Asuntos Profesorales y Secretaria Ejecutiva CIARP</t>
  </si>
  <si>
    <t>Proyectó y Elaboró</t>
  </si>
  <si>
    <t>Revisó</t>
  </si>
  <si>
    <t>TÍTULO ARTÍCULO</t>
  </si>
  <si>
    <t>MODALIDAD</t>
  </si>
  <si>
    <t>TIPO</t>
  </si>
  <si>
    <t>PAIS</t>
  </si>
  <si>
    <t>ISSN REVISTA</t>
  </si>
  <si>
    <t>NOMBRE REVISTA</t>
  </si>
  <si>
    <t>PUBLINDEX</t>
  </si>
  <si>
    <t>CATEGORÍA
REVISTA</t>
  </si>
  <si>
    <t>NUMERO DE AUTORES</t>
  </si>
  <si>
    <t>EDITORIAL</t>
  </si>
  <si>
    <t>FECHA</t>
  </si>
  <si>
    <t>DOCUMENTO DE IDENTIFICAC.</t>
  </si>
  <si>
    <t>NOMBRES DE AUTORES PERTENECIENTES A UNIVERSIDADES</t>
  </si>
  <si>
    <t>ESCOLARIDAD</t>
  </si>
  <si>
    <t>CATEGORÍA DEL
DOCENTE</t>
  </si>
  <si>
    <t>PROGRAMA</t>
  </si>
  <si>
    <t>PUNTAJE AUTOR</t>
  </si>
  <si>
    <t>UNIVERSIDAD DE LOS AUTORES (PARTICIPANTES)</t>
  </si>
  <si>
    <t>OBSERVACIÓN</t>
  </si>
  <si>
    <t>RECIBIDO</t>
  </si>
  <si>
    <t>APROBADO</t>
  </si>
  <si>
    <t>PUBLICADO</t>
  </si>
  <si>
    <t xml:space="preserve">I </t>
  </si>
  <si>
    <t>Determinantes de la corrupción y evasión de impuestos en América Latina: un análisis bibliométrico</t>
  </si>
  <si>
    <t>Full paper</t>
  </si>
  <si>
    <t>Nacional</t>
  </si>
  <si>
    <t>Colombia</t>
  </si>
  <si>
    <t>0120-4203</t>
  </si>
  <si>
    <t>Contaduría Universidad   de   Antioquia</t>
  </si>
  <si>
    <t>https://scienti.minciencias.gov.co/publindex/#/revistasPublindex/detalle?tipo=R&amp;idRevista=349</t>
  </si>
  <si>
    <t>C</t>
  </si>
  <si>
    <t>Universidad de Antioquia, Facultad de Ciencias Económicas</t>
  </si>
  <si>
    <t>RUBÉN ANTONIO VÉLEZ RAMÍREZ</t>
  </si>
  <si>
    <t>Maestría</t>
  </si>
  <si>
    <t>Asistente</t>
  </si>
  <si>
    <t>Contaduría Pública</t>
  </si>
  <si>
    <t>Universidad del Quindío</t>
  </si>
  <si>
    <t>Alexa Juliana Montoya Morales</t>
  </si>
  <si>
    <t>Marisela Restrepo Triviño</t>
  </si>
  <si>
    <t>Síntesis contextual y crítica del estándar IFRS-S2. Retos de la información a revelar relacionada con el clima</t>
  </si>
  <si>
    <t>2711-0044</t>
  </si>
  <si>
    <t>En-Contexto</t>
  </si>
  <si>
    <t>https://scienti.minciencias.gov.co/publindex/#/revistasPublindex/detalle?tipo=R&amp;idRevista=108</t>
  </si>
  <si>
    <t>Tecnologico de Antioquia Institución Universitaria</t>
  </si>
  <si>
    <t>Eutimio Mejia Soto</t>
  </si>
  <si>
    <t>Natalia Buriticá Muñoz</t>
  </si>
  <si>
    <t>El Rol de la cultura empresarial como factor limitante en el acceso al crédito para la MiPymes de la ciudad de Armenia durante el periodo del 2022</t>
  </si>
  <si>
    <t>2619-4244</t>
  </si>
  <si>
    <t>Dictamen Libre</t>
  </si>
  <si>
    <t>https://scienti.minciencias.gov.co/publindex/#/revistasPublindex/detalle?tipo=R&amp;idRevista=1044</t>
  </si>
  <si>
    <t>Universidad Libre Barranquilla</t>
  </si>
  <si>
    <t>ALEXANDER CASTRO DÍAZ</t>
  </si>
  <si>
    <t>Economía</t>
  </si>
  <si>
    <t>Juan Andrés Franco Murillo</t>
  </si>
  <si>
    <t>Johan Sebastián López Sánchez</t>
  </si>
  <si>
    <t>Marine Environmental Conditions and Occupational Risks in Artisanal Fishing of the Colombian Pacific</t>
  </si>
  <si>
    <t>Internacional</t>
  </si>
  <si>
    <t>China</t>
  </si>
  <si>
    <t>1674-2974</t>
  </si>
  <si>
    <t>Journal of Hunan University Natural Sciences</t>
  </si>
  <si>
    <t>https://scienti.minciencias.gov.co/publindex/#/revistasHomologadas/detalle/53148</t>
  </si>
  <si>
    <t>No Homolagada</t>
  </si>
  <si>
    <t>Journalof Hunan University (Natural Sciences)</t>
  </si>
  <si>
    <t xml:space="preserve">29505841
</t>
  </si>
  <si>
    <t>NASLY CRISTINA RODRÍGUEZ IDROBO</t>
  </si>
  <si>
    <t>Seguridad y Salud en el Trabajo</t>
  </si>
  <si>
    <t>Ciencias de la Salud</t>
  </si>
  <si>
    <t>El artículo es del año 2026, no cumple con lo establecido en el numeral 2 del artículo segundo del A.C.S No.012. Cada profesor someterá a consideración los resultados de su producción académica concluida durante el año calendario inmediatamente anterior.</t>
  </si>
  <si>
    <t xml:space="preserve">76316780
</t>
  </si>
  <si>
    <t>HÉCTOR FABIO BERMÚDEZ OROZCO</t>
  </si>
  <si>
    <t>Doctorado</t>
  </si>
  <si>
    <t>Titular</t>
  </si>
  <si>
    <t>Ingeniería Electrónica</t>
  </si>
  <si>
    <t>Ingeniería</t>
  </si>
  <si>
    <t>JOHN JAMES PÉREZ PENAGOS</t>
  </si>
  <si>
    <t>El pensamiento sindemico como alternativa a las intervenciones en salud</t>
  </si>
  <si>
    <t>Editorial</t>
  </si>
  <si>
    <t>2462-8425</t>
  </si>
  <si>
    <t>Hacia la Promoción de la Salud</t>
  </si>
  <si>
    <t>https://scienti.minciencias.gov.co/publindex/#/revistasPublindex/detalle?tipo=R&amp;idRevista=433</t>
  </si>
  <si>
    <t>B</t>
  </si>
  <si>
    <t>Universidad de Caldas</t>
  </si>
  <si>
    <t>No registra</t>
  </si>
  <si>
    <t>DIANA PATRICIA LONDOÑO BURITICÁ</t>
  </si>
  <si>
    <t>Enfermería</t>
  </si>
  <si>
    <t>Dec.1279 de 2002, Art. 10, Lit. B. Para editoriales, se asigna el 30% del puntaje según su nivel y clasificación.</t>
  </si>
  <si>
    <t>NOMBRE DEL LIBRO ENSAYO</t>
  </si>
  <si>
    <t>ISBN</t>
  </si>
  <si>
    <t xml:space="preserve">FECHA DE PUBLICACIÓN </t>
  </si>
  <si>
    <t>DOCUMENTO DE 
IDENTIFICACIÓN</t>
  </si>
  <si>
    <t>AUTORES</t>
  </si>
  <si>
    <t>UNIVERSIDAD.
PARTICIPANT</t>
  </si>
  <si>
    <t>PAR EVALUADOR MINCIENCIAS 1</t>
  </si>
  <si>
    <t>PAR EVALUADOR MINCIENCIAS 2</t>
  </si>
  <si>
    <t xml:space="preserve">OBSERVACIONES </t>
  </si>
  <si>
    <t>Aplicación de la estadística inferencial y la tecnología en la formación contable</t>
  </si>
  <si>
    <t>978-628-7783-92-8</t>
  </si>
  <si>
    <t>Kinesis Ltda</t>
  </si>
  <si>
    <t>OLGA INÉS CEBALLOS RINCON</t>
  </si>
  <si>
    <t>LUZ AMPARO MEJÍA CASTELLANOS</t>
  </si>
  <si>
    <t>Cristhian López Leyton</t>
  </si>
  <si>
    <t>Enfoque administrativo y estadístico de las barreras para la adopción de tecnologías financieras en el contexto colombiano</t>
  </si>
  <si>
    <t>978-628-7873-28-5</t>
  </si>
  <si>
    <t>Bianey Castro Peñaloza</t>
  </si>
  <si>
    <t>Herramientas digitales para fortalecer el aprendizaje matemático y la auditoría informática en contaduría pública</t>
  </si>
  <si>
    <t>978-628-7873-33-9</t>
  </si>
  <si>
    <t>A la docente Olga Inés Ceballos R. se le asignan 10,0 de 11,9 puntos. Lo anterior para dar cumplimiento al A.C.S No.012 de 2009, artículo 9°, que reza; El máximo puntaje que se le asigna a un docente por productividad académica relacionada con libros será de 35 puntos por año."</t>
  </si>
  <si>
    <t>A la docente Luz Amparo Mejía C. se le asignan 10,0 de 11,9 puntos. Lo anterior para dar cumplimiento al A.C.S No.012 de 2009, artículo 9°, que reza; El máximo puntaje que se le asigna a un docente por productividad académica relacionada con libros será de 35 puntos por año."</t>
  </si>
  <si>
    <t>Santiago Sabogal Correa</t>
  </si>
  <si>
    <t>El riesgo cardiovascular: entre la genética y la epigenética</t>
  </si>
  <si>
    <t>978-628-7873-19-3</t>
  </si>
  <si>
    <t>OLGA ALICIA NIETO CÁRDENAS</t>
  </si>
  <si>
    <t>Medicina</t>
  </si>
  <si>
    <t>Ana Lorena Uribe Hurtado</t>
  </si>
  <si>
    <t>Universidad Nacional</t>
  </si>
  <si>
    <t>Mariana Sofia Candamil Cortes</t>
  </si>
  <si>
    <t>Centro de Bioinformática y Biología Computacional de Colombia – BIOS</t>
  </si>
  <si>
    <t>Marcela Orjuela Rodríguez</t>
  </si>
  <si>
    <t>Edwin David Morales Alvarez</t>
  </si>
  <si>
    <t>Conceptos básicos de psicomotricidad y educación psicomotriz para licenciados</t>
  </si>
  <si>
    <t>978-958-5108-70-7</t>
  </si>
  <si>
    <t>Elizcom SAS</t>
  </si>
  <si>
    <t>CARLOS ALFONSO BUSTAMANTE GUTIÉRREZ</t>
  </si>
  <si>
    <t>Licenciatura en Educación Infantil</t>
  </si>
  <si>
    <t>Ciencias de la Educación</t>
  </si>
  <si>
    <t>Eliana Marcela Suarez Cárdenas</t>
  </si>
  <si>
    <t>Jheison Fabián Gutiérrez Bermúdez</t>
  </si>
  <si>
    <t>Educar/se en el conocimiento y cuidado de sí: Arte para indagar la existencia y hacer de la vida una obra de arte</t>
  </si>
  <si>
    <t>978-958-5108-55-4</t>
  </si>
  <si>
    <t>JUAN CARLOS SÁNCHEZ MUÑOZ</t>
  </si>
  <si>
    <t>Licenciatura en Educación Física, Recreación y Deportes</t>
  </si>
  <si>
    <t>Carlos Alberto Molina Gómez</t>
  </si>
  <si>
    <t>Gestión como gesta pedagogía en directivos universitarios</t>
  </si>
  <si>
    <t>978-958-5108-56-1</t>
  </si>
  <si>
    <t>Johan Steven Suarez Grisales</t>
  </si>
  <si>
    <t>NOMBRE DEL LIBRO TEXTO</t>
  </si>
  <si>
    <t>ESPACIO ACADÉMICO</t>
  </si>
  <si>
    <t>Mas allá de las palabras. Un viaje metacognitivo hacia la escritura consciente</t>
  </si>
  <si>
    <t>978-628-7873-22-3</t>
  </si>
  <si>
    <t>Didáctica de las Lenguas Extranjeras</t>
  </si>
  <si>
    <t>CRISTIAN CAMILO REYES GALEANO</t>
  </si>
  <si>
    <t>Licenciatura en Lenguas Modernas con énfasis en Inglés y Francés</t>
  </si>
  <si>
    <t>Didáctica de las Lenguas Extranjeras. Curso básico de Inglés</t>
  </si>
  <si>
    <t>JHONATAN VELA SAAVEDRA</t>
  </si>
  <si>
    <t>Yenifer Agudelo Correa</t>
  </si>
  <si>
    <t>Fundamentos de higiene industrial</t>
  </si>
  <si>
    <t>978-958-508-557-2</t>
  </si>
  <si>
    <t>Grupo Editorial Ecoe Ediciones S.A.S.</t>
  </si>
  <si>
    <t>Higiene Industrial I, II, III</t>
  </si>
  <si>
    <t>RAFAEL HUMBERTO VILLAMIZAR VARGAS</t>
  </si>
  <si>
    <t>Asociado</t>
  </si>
  <si>
    <t>Fundamentos de Teledetección</t>
  </si>
  <si>
    <t>978-958-5108-69-1</t>
  </si>
  <si>
    <t>Elizcom S.A.S</t>
  </si>
  <si>
    <t>Teledetección</t>
  </si>
  <si>
    <t>GONZALO JIMENEZ CLEVES</t>
  </si>
  <si>
    <t>Ingeniería Topográfica y Geomática</t>
  </si>
  <si>
    <t>JULIÁN GARZÓN BARRERO</t>
  </si>
  <si>
    <t>José Joaquín Vila Ortega</t>
  </si>
  <si>
    <t>Co-construye. Herramientas pedagógicas co-creadas con IA para el desarrollo de la competencia comunicativa intercultural crítica en contextos universitarios</t>
  </si>
  <si>
    <t>978-628-7873-29-2</t>
  </si>
  <si>
    <t>Didáctica del Bilingüismo - Interculturalidad y Francofonía</t>
  </si>
  <si>
    <t>MARGARITA ALEXANDRA BOTERO RESTREPO</t>
  </si>
  <si>
    <t>JACQUELINE GARCÍA BOTERO</t>
  </si>
  <si>
    <t>Instrumentos Financieros Básicos - Beneficios a Empleados - Provisiones y Contingencias</t>
  </si>
  <si>
    <t>978-628-7783-91-1</t>
  </si>
  <si>
    <t>Contabilidad Financiera III</t>
  </si>
  <si>
    <t>LINA MARÍA LÓPEZ CASTAÑEDA</t>
  </si>
  <si>
    <t>Valeria Rivera Quiguanás</t>
  </si>
  <si>
    <t>Martha Cecilia Giraldo Peláez</t>
  </si>
  <si>
    <t>Modelamiento de nicho ecológico para Dummies</t>
  </si>
  <si>
    <t>978-628-7783-81-2</t>
  </si>
  <si>
    <t>Biología Evolutiva</t>
  </si>
  <si>
    <t>OSCAR ALEXANDER AGUIRRE OBANDO</t>
  </si>
  <si>
    <t>Biología</t>
  </si>
  <si>
    <t>Ciencias Básicas y Tecnologías</t>
  </si>
  <si>
    <t>Estefanía Mejía Jurado</t>
  </si>
  <si>
    <t>Corporación Autonoma Regional del Quindío</t>
  </si>
  <si>
    <t>Emmanuel Echeverry Cárdenas</t>
  </si>
  <si>
    <t>Introducción a la programación orientada a objetos en Java</t>
  </si>
  <si>
    <t>978-628-7873-12-4</t>
  </si>
  <si>
    <t>Programación I</t>
  </si>
  <si>
    <t>JORGE ORLANDO HERRERA MORALES</t>
  </si>
  <si>
    <t>Ingeniería de Sistemas y Computación</t>
  </si>
  <si>
    <t xml:space="preserve">Alejandro Urrea Ospina </t>
  </si>
  <si>
    <t>Ricardo Antonio Botero Ríos</t>
  </si>
  <si>
    <t>Universidad Alexander Von Humboldt</t>
  </si>
  <si>
    <t>Fundamentos de estructuras de datos en Java</t>
  </si>
  <si>
    <t>978-628-7873-00-1</t>
  </si>
  <si>
    <t>Estructuras de Datos</t>
  </si>
  <si>
    <t>TOTAL PUNTOS LIBROS TEXTO</t>
  </si>
  <si>
    <t>DOCUMENTO DE IDENTIFICACIÓN</t>
  </si>
  <si>
    <t>TÍTULO DEL TRABAJO</t>
  </si>
  <si>
    <t xml:space="preserve">PREMIO O DISTINCIÓN </t>
  </si>
  <si>
    <t>ENTIDAD QUE OTORGA EL PREMIO</t>
  </si>
  <si>
    <t>FECHA OTORGAN PREMIO</t>
  </si>
  <si>
    <t>JORGE ALEJANDRO ALDANA GUTIÉRREZ</t>
  </si>
  <si>
    <t>El desarrollo de videojuegos en un currículo integrado CDIO en la Universidad del Quindío</t>
  </si>
  <si>
    <t>Premio ACOFI 2024, categoría Educación en Ingeniería</t>
  </si>
  <si>
    <t>Asociación Colombiana de Facultades de Ingeniería - ACOFI</t>
  </si>
  <si>
    <t>21 de marzo de 2025</t>
  </si>
  <si>
    <t>3 Autores
No cumple con lo establecido en el Decreto 1279 de 2002, artículo 24, numeral I, ítem g) Premio Nacionales e Internacionales. En los soportes no se evidencia la convocatoria publica a premio. Se adjunta el concepto del Grupo de Seguimiento al 1279 a la consulta 2021-ER-273316 que cita "Se aclara que, los reconocimientos a trabajos presentados en el marco de eventos académicos no corresponden a premios o distinciones salvo que cumplan los requisitos establecidos por el  decreto, en especial, el reconocido prestigio de la institución otorgante y la existencia de una convocatoria de carácter nacional o internacional a participar por el premio o distinción (que no necesariamente coincide con la convocatoria a presentar trabajos en dicho evento académico) lo mismo que la claridad en su proceso de selección.”</t>
  </si>
  <si>
    <t>ALEXANDER VERA TASAMA</t>
  </si>
  <si>
    <t>Alexander López Parrado</t>
  </si>
  <si>
    <t>EUNICE RIOS VÁSQUEZ</t>
  </si>
  <si>
    <t>Química</t>
  </si>
  <si>
    <t>Comparación de diferentes métodos en la extracción de aceite esencial de rizomas de Hedychium coccineum: composición química y actividad biológica</t>
  </si>
  <si>
    <t>Premio Nacional mejor trabajo presentado en el área de biología vegetal</t>
  </si>
  <si>
    <t>Asociación Colombiana de Ciencias Biológicas</t>
  </si>
  <si>
    <t>3 Autores
Se asignan 10 puntos a premio nacional, de acuerdo a la tabla aprobada por el CIARP en sesión 3 del 30/05/2025.
Los puntos se pagarán a la docente Eunice Rios V. al término de la comisión académica-administrativa como decana de la Facultad de Ciencias Básicas y Tecnologías</t>
  </si>
  <si>
    <t>Nayeli Milena Estrada Mesa</t>
  </si>
  <si>
    <t>Yeferson Ospina Balvuena</t>
  </si>
  <si>
    <t>NELSY LOANGO CHAMORRO</t>
  </si>
  <si>
    <t>Consorcio bacteriano para la degradación de compuestos azufrados y la mitigación de gases y olores ofensivos en aguas residuales</t>
  </si>
  <si>
    <t>Premio Nacional mejor trabajo presentado en poster</t>
  </si>
  <si>
    <t>3 Autores
Se asignan 10 puntos a premio nacional, de acuerdo a la tabla aprobada por el CIARP en sesión 3 del 30/05/2025.</t>
  </si>
  <si>
    <t>Fabiana María Lora Suarez</t>
  </si>
  <si>
    <t>Laura Natalia Gutierrez J.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</si>
</sst>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d/m/yyyy"/>
    <numFmt numFmtId="166" formatCode="#,##0.0"/>
    <numFmt numFmtId="167" formatCode="D/M/YYYY"/>
  </numFmts>
  <fonts count="9">
    <font>
      <sz val="10.0"/>
      <color rgb="FF000000"/>
      <name val="Arial"/>
      <scheme val="minor"/>
    </font>
    <font>
      <color theme="1"/>
      <name val="Arial Narrow"/>
    </font>
    <font>
      <sz val="11.0"/>
      <color theme="1"/>
      <name val="Calibri"/>
    </font>
    <font>
      <b/>
      <color theme="1"/>
      <name val="Arial Narrow"/>
    </font>
    <font/>
    <font>
      <u/>
      <color rgb="FF0000FF"/>
      <name val="Arial Narrow"/>
    </font>
    <font>
      <color rgb="FFFF0000"/>
      <name val="Arial Narrow"/>
    </font>
    <font>
      <u/>
      <color rgb="FFFF0000"/>
      <name val="Arial Narrow"/>
    </font>
    <font>
      <b/>
      <color rgb="FFFF0000"/>
      <name val="Arial Narrow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17">
    <border/>
    <border>
      <left/>
      <right/>
      <top/>
      <bottom/>
    </border>
    <border>
      <bottom style="thin">
        <color rgb="FF92D050"/>
      </bottom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Font="1"/>
    <xf borderId="0" fillId="3" fontId="1" numFmtId="0" xfId="0" applyAlignment="1" applyFill="1" applyFont="1">
      <alignment shrinkToFit="0" wrapText="1"/>
    </xf>
    <xf borderId="0" fillId="3" fontId="2" numFmtId="0" xfId="0" applyAlignment="1" applyFont="1">
      <alignment vertical="bottom"/>
    </xf>
    <xf borderId="0" fillId="3" fontId="1" numFmtId="0" xfId="0" applyAlignment="1" applyFont="1">
      <alignment horizontal="center" shrinkToFit="0" wrapText="1"/>
    </xf>
    <xf borderId="0" fillId="3" fontId="1" numFmtId="164" xfId="0" applyAlignment="1" applyFont="1" applyNumberFormat="1">
      <alignment horizontal="center"/>
    </xf>
    <xf borderId="0" fillId="2" fontId="1" numFmtId="0" xfId="0" applyAlignment="1" applyFont="1">
      <alignment shrinkToFit="0" wrapText="1"/>
    </xf>
    <xf borderId="0" fillId="2" fontId="2" numFmtId="0" xfId="0" applyAlignment="1" applyFont="1">
      <alignment vertical="bottom"/>
    </xf>
    <xf borderId="0" fillId="2" fontId="2" numFmtId="0" xfId="0" applyFont="1"/>
    <xf borderId="0" fillId="2" fontId="1" numFmtId="0" xfId="0" applyAlignment="1" applyFon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3" fontId="2" numFmtId="0" xfId="0" applyFont="1"/>
    <xf borderId="0" fillId="2" fontId="1" numFmtId="0" xfId="0" applyAlignment="1" applyFont="1">
      <alignment horizontal="center" shrinkToFit="0" wrapText="1"/>
    </xf>
    <xf borderId="0" fillId="2" fontId="1" numFmtId="164" xfId="0" applyAlignment="1" applyFont="1" applyNumberFormat="1">
      <alignment horizontal="center"/>
    </xf>
    <xf borderId="0" fillId="3" fontId="1" numFmtId="1" xfId="0" applyAlignment="1" applyFont="1" applyNumberFormat="1">
      <alignment horizontal="center" shrinkToFit="0" wrapText="1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2" fontId="1" numFmtId="0" xfId="0" applyFont="1"/>
    <xf borderId="0" fillId="2" fontId="1" numFmtId="164" xfId="0" applyAlignment="1" applyFont="1" applyNumberFormat="1">
      <alignment horizontal="center" shrinkToFit="0" wrapText="1"/>
    </xf>
    <xf borderId="2" fillId="0" fontId="2" numFmtId="0" xfId="0" applyBorder="1" applyFont="1"/>
    <xf borderId="3" fillId="3" fontId="3" numFmtId="0" xfId="0" applyAlignment="1" applyBorder="1" applyFont="1">
      <alignment shrinkToFit="0" wrapText="1"/>
    </xf>
    <xf borderId="3" fillId="3" fontId="2" numFmtId="0" xfId="0" applyBorder="1" applyFont="1"/>
    <xf borderId="3" fillId="3" fontId="3" numFmtId="164" xfId="0" applyAlignment="1" applyBorder="1" applyFont="1" applyNumberFormat="1">
      <alignment horizontal="center" shrinkToFit="0" wrapText="1"/>
    </xf>
    <xf borderId="4" fillId="4" fontId="3" numFmtId="0" xfId="0" applyAlignment="1" applyBorder="1" applyFill="1" applyFont="1">
      <alignment horizontal="center"/>
    </xf>
    <xf borderId="4" fillId="4" fontId="3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/>
    </xf>
    <xf borderId="4" fillId="0" fontId="1" numFmtId="3" xfId="0" applyAlignment="1" applyBorder="1" applyFont="1" applyNumberForma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4" fillId="0" fontId="1" numFmtId="164" xfId="0" applyAlignment="1" applyBorder="1" applyFont="1" applyNumberFormat="1">
      <alignment horizontal="center" shrinkToFit="0" wrapText="1"/>
    </xf>
    <xf borderId="4" fillId="0" fontId="1" numFmtId="165" xfId="0" applyAlignment="1" applyBorder="1" applyFont="1" applyNumberFormat="1">
      <alignment horizontal="center" shrinkToFit="0" wrapText="1"/>
    </xf>
    <xf borderId="4" fillId="0" fontId="3" numFmtId="164" xfId="0" applyAlignment="1" applyBorder="1" applyFont="1" applyNumberFormat="1">
      <alignment horizontal="center" shrinkToFit="0" wrapText="1"/>
    </xf>
    <xf borderId="4" fillId="0" fontId="2" numFmtId="0" xfId="0" applyBorder="1" applyFont="1"/>
    <xf borderId="0" fillId="0" fontId="2" numFmtId="3" xfId="0" applyFont="1" applyNumberFormat="1"/>
    <xf borderId="0" fillId="0" fontId="2" numFmtId="165" xfId="0" applyFont="1" applyNumberFormat="1"/>
    <xf borderId="0" fillId="0" fontId="2" numFmtId="164" xfId="0" applyFont="1" applyNumberFormat="1"/>
    <xf borderId="0" fillId="0" fontId="2" numFmtId="49" xfId="0" applyFont="1" applyNumberFormat="1"/>
    <xf borderId="5" fillId="5" fontId="3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1" fillId="5" fontId="3" numFmtId="166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bottom" wrapText="1"/>
    </xf>
    <xf borderId="8" fillId="4" fontId="3" numFmtId="0" xfId="0" applyAlignment="1" applyBorder="1" applyFont="1">
      <alignment horizontal="center" shrinkToFit="0" wrapText="1"/>
    </xf>
    <xf borderId="9" fillId="4" fontId="3" numFmtId="0" xfId="0" applyAlignment="1" applyBorder="1" applyFont="1">
      <alignment horizontal="center" shrinkToFit="0" wrapText="1"/>
    </xf>
    <xf borderId="10" fillId="0" fontId="4" numFmtId="0" xfId="0" applyBorder="1" applyFont="1"/>
    <xf borderId="11" fillId="0" fontId="4" numFmtId="0" xfId="0" applyBorder="1" applyFont="1"/>
    <xf borderId="12" fillId="4" fontId="2" numFmtId="0" xfId="0" applyBorder="1" applyFont="1"/>
    <xf borderId="13" fillId="4" fontId="2" numFmtId="0" xfId="0" applyBorder="1" applyFont="1"/>
    <xf borderId="4" fillId="0" fontId="1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4" fillId="0" fontId="1" numFmtId="167" xfId="0" applyAlignment="1" applyBorder="1" applyFont="1" applyNumberFormat="1">
      <alignment horizontal="center" shrinkToFit="0" wrapText="1"/>
    </xf>
    <xf borderId="4" fillId="0" fontId="1" numFmtId="49" xfId="0" applyAlignment="1" applyBorder="1" applyFont="1" applyNumberFormat="1">
      <alignment horizontal="center" shrinkToFit="0" wrapText="1"/>
    </xf>
    <xf borderId="4" fillId="0" fontId="2" numFmtId="167" xfId="0" applyBorder="1" applyFont="1" applyNumberFormat="1"/>
    <xf borderId="4" fillId="0" fontId="2" numFmtId="164" xfId="0" applyBorder="1" applyFont="1" applyNumberFormat="1"/>
    <xf borderId="4" fillId="0" fontId="6" numFmtId="0" xfId="0" applyAlignment="1" applyBorder="1" applyFont="1">
      <alignment horizontal="center"/>
    </xf>
    <xf borderId="4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wrapText="1"/>
    </xf>
    <xf borderId="4" fillId="0" fontId="6" numFmtId="167" xfId="0" applyAlignment="1" applyBorder="1" applyFont="1" applyNumberFormat="1">
      <alignment horizontal="center" shrinkToFit="0" wrapText="1"/>
    </xf>
    <xf borderId="4" fillId="0" fontId="6" numFmtId="164" xfId="0" applyAlignment="1" applyBorder="1" applyFont="1" applyNumberFormat="1">
      <alignment horizontal="center" shrinkToFit="0" wrapText="1"/>
    </xf>
    <xf borderId="4" fillId="0" fontId="8" numFmtId="164" xfId="0" applyAlignment="1" applyBorder="1" applyFont="1" applyNumberFormat="1">
      <alignment horizontal="center" shrinkToFit="0" wrapText="1"/>
    </xf>
    <xf borderId="4" fillId="0" fontId="6" numFmtId="49" xfId="0" applyAlignment="1" applyBorder="1" applyFont="1" applyNumberFormat="1">
      <alignment horizontal="center" shrinkToFit="0" wrapText="1"/>
    </xf>
    <xf borderId="4" fillId="0" fontId="1" numFmtId="3" xfId="0" applyAlignment="1" applyBorder="1" applyFont="1" applyNumberFormat="1">
      <alignment horizontal="center"/>
    </xf>
    <xf borderId="4" fillId="0" fontId="1" numFmtId="2" xfId="0" applyAlignment="1" applyBorder="1" applyFont="1" applyNumberFormat="1">
      <alignment horizontal="center" shrinkToFit="0" wrapText="1"/>
    </xf>
    <xf borderId="4" fillId="0" fontId="2" numFmtId="3" xfId="0" applyBorder="1" applyFont="1" applyNumberFormat="1"/>
    <xf borderId="4" fillId="2" fontId="1" numFmtId="164" xfId="0" applyAlignment="1" applyBorder="1" applyFont="1" applyNumberFormat="1">
      <alignment horizontal="center" shrinkToFit="0" wrapText="1"/>
    </xf>
    <xf borderId="4" fillId="2" fontId="2" numFmtId="164" xfId="0" applyBorder="1" applyFont="1" applyNumberFormat="1"/>
    <xf borderId="4" fillId="0" fontId="2" numFmtId="2" xfId="0" applyBorder="1" applyFont="1" applyNumberFormat="1"/>
    <xf borderId="4" fillId="2" fontId="2" numFmtId="167" xfId="0" applyBorder="1" applyFont="1" applyNumberFormat="1"/>
    <xf borderId="4" fillId="0" fontId="2" numFmtId="0" xfId="0" applyAlignment="1" applyBorder="1" applyFon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1" fillId="5" fontId="3" numFmtId="166" xfId="0" applyAlignment="1" applyBorder="1" applyFont="1" applyNumberFormat="1">
      <alignment horizontal="center" vertical="bottom"/>
    </xf>
    <xf borderId="4" fillId="0" fontId="6" numFmtId="165" xfId="0" applyAlignment="1" applyBorder="1" applyFont="1" applyNumberFormat="1">
      <alignment horizontal="center" shrinkToFit="0" wrapText="1"/>
    </xf>
    <xf borderId="14" fillId="0" fontId="6" numFmtId="0" xfId="0" applyAlignment="1" applyBorder="1" applyFont="1">
      <alignment horizontal="center" shrinkToFit="0" wrapText="1"/>
    </xf>
    <xf borderId="15" fillId="0" fontId="4" numFmtId="0" xfId="0" applyBorder="1" applyFont="1"/>
    <xf borderId="4" fillId="2" fontId="2" numFmtId="0" xfId="0" applyBorder="1" applyFont="1"/>
    <xf borderId="4" fillId="0" fontId="2" numFmtId="165" xfId="0" applyBorder="1" applyFont="1" applyNumberFormat="1"/>
    <xf borderId="16" fillId="0" fontId="4" numFmtId="0" xfId="0" applyBorder="1" applyFont="1"/>
    <xf borderId="4" fillId="5" fontId="1" numFmtId="0" xfId="0" applyAlignment="1" applyBorder="1" applyFont="1">
      <alignment horizontal="center" shrinkToFit="0" wrapText="1"/>
    </xf>
    <xf borderId="4" fillId="5" fontId="3" numFmtId="0" xfId="0" applyAlignment="1" applyBorder="1" applyFont="1">
      <alignment horizontal="center" shrinkToFit="0" wrapText="1"/>
    </xf>
    <xf borderId="4" fillId="5" fontId="1" numFmtId="164" xfId="0" applyAlignment="1" applyBorder="1" applyFont="1" applyNumberFormat="1">
      <alignment horizontal="center" shrinkToFit="0" wrapText="1"/>
    </xf>
    <xf borderId="4" fillId="5" fontId="1" numFmtId="165" xfId="0" applyAlignment="1" applyBorder="1" applyFont="1" applyNumberFormat="1">
      <alignment horizontal="center" shrinkToFit="0" wrapText="1"/>
    </xf>
    <xf borderId="4" fillId="5" fontId="3" numFmtId="164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</dxfs>
  <tableStyles count="1">
    <tableStyle count="4" pivot="0" name="Puntos aprobados_2026-style">
      <tableStyleElement dxfId="1" type="headerRow"/>
      <tableStyleElement dxfId="2" type="firstRowStripe"/>
      <tableStyleElement dxfId="1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D18" displayName="Table_1" name="Table_1" id="1">
  <tableColumns count="4">
    <tableColumn totalsRowLabel="Total" name="Factores Salariales_x000a_Decreto 1279, artículo 12" id="1"/>
    <tableColumn name="Productividad académica" id="2"/>
    <tableColumn totalsRowFunction="custom" name="No. de productos" id="3"/>
    <tableColumn totalsRowFunction="custom" name="Puntos asignados CIARP 02- 04/06/2026" id="4"/>
  </tableColumns>
  <tableStyleInfo name="Puntos aprobados_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cienti.minciencias.gov.co/publindex/" TargetMode="External"/><Relationship Id="rId3" Type="http://schemas.openxmlformats.org/officeDocument/2006/relationships/hyperlink" Target="https://scienti.minciencias.gov.co/publindex/" TargetMode="External"/><Relationship Id="rId4" Type="http://schemas.openxmlformats.org/officeDocument/2006/relationships/hyperlink" Target="https://scienti.minciencias.gov.co/publindex/" TargetMode="External"/><Relationship Id="rId10" Type="http://schemas.openxmlformats.org/officeDocument/2006/relationships/vmlDrawing" Target="../drawings/vmlDrawing1.vml"/><Relationship Id="rId9" Type="http://schemas.openxmlformats.org/officeDocument/2006/relationships/drawing" Target="../drawings/drawing3.xml"/><Relationship Id="rId5" Type="http://schemas.openxmlformats.org/officeDocument/2006/relationships/hyperlink" Target="https://scienti.minciencias.gov.co/publindex/" TargetMode="External"/><Relationship Id="rId6" Type="http://schemas.openxmlformats.org/officeDocument/2006/relationships/hyperlink" Target="https://scienti.minciencias.gov.co/publindex/" TargetMode="External"/><Relationship Id="rId7" Type="http://schemas.openxmlformats.org/officeDocument/2006/relationships/hyperlink" Target="https://scienti.minciencias.gov.co/publindex/" TargetMode="External"/><Relationship Id="rId8" Type="http://schemas.openxmlformats.org/officeDocument/2006/relationships/hyperlink" Target="https://scienti.minciencias.gov.co/publindex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/>
      <c r="C2" s="5">
        <v>1.0</v>
      </c>
      <c r="D2" s="6">
        <f>Titulo!O3</f>
        <v>80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5</v>
      </c>
      <c r="B3" s="8"/>
      <c r="C3" s="9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</v>
      </c>
      <c r="B4" s="3" t="s">
        <v>6</v>
      </c>
      <c r="C4" s="5">
        <v>5.0</v>
      </c>
      <c r="D4" s="6">
        <f>Pub_Rev_Index!X4+Pub_Rev_Index!X7+Pub_Rev_Index!X10+Pub_Rev_Index!X16</f>
        <v>11.4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10" t="s">
        <v>7</v>
      </c>
      <c r="C5" s="9"/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11" t="s">
        <v>8</v>
      </c>
      <c r="C6" s="12"/>
      <c r="D6" s="1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/>
      <c r="B7" s="10" t="s">
        <v>9</v>
      </c>
      <c r="C7" s="13">
        <v>8.0</v>
      </c>
      <c r="D7" s="14">
        <f>Libro_Texto!T3+Libro_Texto!T6+Libro_Texto!T7+Libro_Texto!T8+Libro_Texto!T4+Libro_Texto!T10+Libro_Texto!T11+Libro_Texto!T12+Libro_Texto!T13+Libro_Texto!T16+Libro_Texto!T19+Libro_Texto!T22</f>
        <v>162.9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11" t="s">
        <v>10</v>
      </c>
      <c r="C8" s="15">
        <v>7.0</v>
      </c>
      <c r="D8" s="6">
        <f>Libro_Ensayo!S3+Libro_Ensayo!S4+Libro_Ensayo!S6+Libro_Ensayo!S7+Libro_Ensayo!S9+Libro_Ensayo!S10+Libro_Ensayo!S12+Libro_Ensayo!S20+Libro_Ensayo!S23+Libro_Ensayo!S17</f>
        <v>35.0125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/>
      <c r="B9" s="16" t="s">
        <v>11</v>
      </c>
      <c r="C9" s="13">
        <v>3.0</v>
      </c>
      <c r="D9" s="17">
        <v>20.0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11" t="s">
        <v>12</v>
      </c>
      <c r="C10" s="12"/>
      <c r="D10" s="1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/>
      <c r="B11" s="10" t="s">
        <v>13</v>
      </c>
      <c r="C11" s="9"/>
      <c r="D11" s="9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11" t="s">
        <v>14</v>
      </c>
      <c r="C12" s="12"/>
      <c r="D12" s="1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/>
      <c r="B13" s="10" t="s">
        <v>15</v>
      </c>
      <c r="C13" s="9"/>
      <c r="D13" s="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4"/>
      <c r="B14" s="11" t="s">
        <v>16</v>
      </c>
      <c r="C14" s="12"/>
      <c r="D14" s="4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7" t="s">
        <v>17</v>
      </c>
      <c r="B15" s="9"/>
      <c r="C15" s="9"/>
      <c r="D15" s="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18</v>
      </c>
      <c r="B16" s="12"/>
      <c r="C16" s="12"/>
      <c r="D16" s="1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19</v>
      </c>
      <c r="B17" s="9"/>
      <c r="C17" s="9"/>
      <c r="D17" s="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9" t="s">
        <v>20</v>
      </c>
      <c r="B18" s="9"/>
      <c r="C18" s="20" t="str">
        <f>SUBTOTAL(109,'Puntos aprobados_2026'!$C$2:$C$17)</f>
        <v>#VALUE!</v>
      </c>
      <c r="D18" s="14" t="str">
        <f>SUBTOTAL(109,'Puntos aprobados_2026'!$D$2:$D$17)</f>
        <v>#VALUE!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1"/>
      <c r="B19" s="21"/>
      <c r="C19" s="21"/>
      <c r="D19" s="2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2" t="s">
        <v>21</v>
      </c>
      <c r="B20" s="23"/>
      <c r="C20" s="23"/>
      <c r="D20" s="24">
        <f>SUM(D4:D14)</f>
        <v>229.3125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5" t="s">
        <v>22</v>
      </c>
      <c r="B2" s="26" t="s">
        <v>23</v>
      </c>
      <c r="C2" s="25" t="s">
        <v>24</v>
      </c>
      <c r="D2" s="26" t="s">
        <v>25</v>
      </c>
      <c r="E2" s="26" t="s">
        <v>26</v>
      </c>
      <c r="F2" s="26" t="s">
        <v>27</v>
      </c>
      <c r="G2" s="26" t="s">
        <v>28</v>
      </c>
      <c r="H2" s="26" t="s">
        <v>29</v>
      </c>
      <c r="I2" s="26" t="s">
        <v>30</v>
      </c>
      <c r="J2" s="26" t="s">
        <v>31</v>
      </c>
      <c r="K2" s="26" t="s">
        <v>32</v>
      </c>
      <c r="L2" s="26" t="s">
        <v>33</v>
      </c>
      <c r="M2" s="26" t="s">
        <v>34</v>
      </c>
      <c r="N2" s="26" t="s">
        <v>35</v>
      </c>
      <c r="O2" s="26" t="s">
        <v>36</v>
      </c>
      <c r="P2" s="26" t="s">
        <v>37</v>
      </c>
      <c r="Q2" s="26" t="s">
        <v>38</v>
      </c>
      <c r="R2" s="18"/>
      <c r="S2" s="18"/>
      <c r="T2" s="18"/>
      <c r="U2" s="18"/>
      <c r="V2" s="18"/>
      <c r="W2" s="18"/>
      <c r="X2" s="18"/>
      <c r="Y2" s="18"/>
      <c r="Z2" s="18"/>
    </row>
    <row r="3">
      <c r="A3" s="27">
        <v>2026.0</v>
      </c>
      <c r="B3" s="27" t="s">
        <v>39</v>
      </c>
      <c r="C3" s="27">
        <v>1.0</v>
      </c>
      <c r="D3" s="28">
        <v>2.4606935E7</v>
      </c>
      <c r="E3" s="29" t="s">
        <v>40</v>
      </c>
      <c r="F3" s="30" t="s">
        <v>41</v>
      </c>
      <c r="G3" s="30" t="s">
        <v>42</v>
      </c>
      <c r="H3" s="30" t="s">
        <v>43</v>
      </c>
      <c r="I3" s="31" t="s">
        <v>44</v>
      </c>
      <c r="J3" s="31" t="s">
        <v>45</v>
      </c>
      <c r="K3" s="30" t="s">
        <v>46</v>
      </c>
      <c r="L3" s="30" t="s">
        <v>47</v>
      </c>
      <c r="M3" s="30" t="s">
        <v>48</v>
      </c>
      <c r="N3" s="32">
        <v>46108.0</v>
      </c>
      <c r="O3" s="33">
        <v>80.0</v>
      </c>
      <c r="P3" s="30" t="s">
        <v>49</v>
      </c>
      <c r="Q3" s="34"/>
      <c r="R3" s="18"/>
      <c r="S3" s="18"/>
      <c r="T3" s="18"/>
      <c r="U3" s="18"/>
      <c r="V3" s="18"/>
      <c r="W3" s="18"/>
      <c r="X3" s="18"/>
      <c r="Y3" s="18"/>
      <c r="Z3" s="18"/>
    </row>
    <row r="4">
      <c r="A4" s="2"/>
      <c r="B4" s="2"/>
      <c r="C4" s="2"/>
      <c r="D4" s="35"/>
      <c r="E4" s="2"/>
      <c r="F4" s="2"/>
      <c r="G4" s="2"/>
      <c r="H4" s="2"/>
      <c r="I4" s="2"/>
      <c r="J4" s="2"/>
      <c r="K4" s="2"/>
      <c r="L4" s="2"/>
      <c r="M4" s="2"/>
      <c r="N4" s="36"/>
      <c r="O4" s="37"/>
      <c r="P4" s="38"/>
      <c r="Q4" s="2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18"/>
      <c r="C5" s="18"/>
      <c r="D5" s="18"/>
      <c r="E5" s="18"/>
      <c r="F5" s="2"/>
      <c r="G5" s="2"/>
      <c r="H5" s="2"/>
      <c r="I5" s="18"/>
      <c r="J5" s="18"/>
      <c r="K5" s="18"/>
      <c r="L5" s="39" t="s">
        <v>50</v>
      </c>
      <c r="M5" s="40"/>
      <c r="N5" s="41"/>
      <c r="O5" s="42">
        <f>SUM(O3:O4)</f>
        <v>80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8"/>
      <c r="C6" s="18"/>
      <c r="D6" s="18"/>
      <c r="E6" s="18"/>
      <c r="F6" s="2"/>
      <c r="G6" s="2"/>
      <c r="H6" s="2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/>
      <c r="C7" s="18"/>
      <c r="D7" s="18"/>
      <c r="E7" s="18"/>
      <c r="F7" s="2"/>
      <c r="G7" s="2"/>
      <c r="H7" s="2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18"/>
      <c r="D8" s="18"/>
      <c r="E8" s="18"/>
      <c r="F8" s="43" t="s">
        <v>51</v>
      </c>
      <c r="J8" s="18"/>
      <c r="K8" s="43" t="s">
        <v>52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8"/>
      <c r="C9" s="18"/>
      <c r="D9" s="18"/>
      <c r="E9" s="18"/>
      <c r="F9" s="44" t="s">
        <v>53</v>
      </c>
      <c r="J9" s="18"/>
      <c r="K9" s="44" t="s">
        <v>54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18"/>
      <c r="D10" s="18"/>
      <c r="E10" s="18"/>
      <c r="F10" s="45" t="s">
        <v>55</v>
      </c>
      <c r="J10" s="18"/>
      <c r="K10" s="45" t="s">
        <v>56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18"/>
      <c r="D11" s="18"/>
      <c r="E11" s="18"/>
      <c r="F11" s="45" t="s">
        <v>57</v>
      </c>
      <c r="J11" s="18"/>
      <c r="K11" s="46" t="s">
        <v>58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2"/>
      <c r="G12" s="2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2"/>
      <c r="G13" s="2"/>
      <c r="H13" s="2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2"/>
      <c r="G14" s="2"/>
      <c r="H14" s="2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2"/>
      <c r="G15" s="2"/>
      <c r="H15" s="2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2"/>
      <c r="G16" s="2"/>
      <c r="H16" s="2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2"/>
      <c r="G17" s="2"/>
      <c r="H17" s="2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2"/>
      <c r="G18" s="2"/>
      <c r="H18" s="2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2"/>
      <c r="G19" s="2"/>
      <c r="H19" s="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2"/>
      <c r="G20" s="2"/>
      <c r="H20" s="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8"/>
      <c r="C21" s="18"/>
      <c r="D21" s="18"/>
      <c r="E21" s="18"/>
      <c r="F21" s="2"/>
      <c r="G21" s="2"/>
      <c r="H21" s="2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2"/>
      <c r="G22" s="2"/>
      <c r="H22" s="2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2"/>
      <c r="G23" s="2"/>
      <c r="H23" s="2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2"/>
      <c r="G24" s="2"/>
      <c r="H24" s="2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2"/>
      <c r="G25" s="2"/>
      <c r="H25" s="2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2"/>
      <c r="G26" s="2"/>
      <c r="H26" s="2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2"/>
      <c r="G27" s="2"/>
      <c r="H27" s="2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2"/>
      <c r="G28" s="2"/>
      <c r="H28" s="2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2"/>
      <c r="G29" s="2"/>
      <c r="H29" s="2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2"/>
      <c r="G30" s="2"/>
      <c r="H30" s="2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2"/>
      <c r="G31" s="2"/>
      <c r="H31" s="2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2"/>
      <c r="G32" s="2"/>
      <c r="H32" s="2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2"/>
      <c r="G33" s="2"/>
      <c r="H33" s="2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2"/>
      <c r="G34" s="2"/>
      <c r="H34" s="2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2"/>
      <c r="G35" s="2"/>
      <c r="H35" s="2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2"/>
      <c r="G36" s="2"/>
      <c r="H36" s="2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2"/>
      <c r="G37" s="2"/>
      <c r="H37" s="2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2"/>
      <c r="G38" s="2"/>
      <c r="H38" s="2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2"/>
      <c r="G39" s="2"/>
      <c r="H39" s="2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2"/>
      <c r="G40" s="2"/>
      <c r="H40" s="2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2"/>
      <c r="G41" s="2"/>
      <c r="H41" s="2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2"/>
      <c r="G42" s="2"/>
      <c r="H42" s="2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2"/>
      <c r="G43" s="2"/>
      <c r="H43" s="2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2"/>
      <c r="G44" s="2"/>
      <c r="H44" s="2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2"/>
      <c r="G45" s="2"/>
      <c r="H45" s="2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2"/>
      <c r="G46" s="2"/>
      <c r="H46" s="2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2"/>
      <c r="G47" s="2"/>
      <c r="H47" s="2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2"/>
      <c r="G48" s="2"/>
      <c r="H48" s="2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2"/>
      <c r="G49" s="2"/>
      <c r="H49" s="2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2"/>
      <c r="G50" s="2"/>
      <c r="H50" s="2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2"/>
      <c r="G51" s="2"/>
      <c r="H51" s="2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2"/>
      <c r="G52" s="2"/>
      <c r="H52" s="2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2"/>
      <c r="G53" s="2"/>
      <c r="H53" s="2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2"/>
      <c r="G54" s="2"/>
      <c r="H54" s="2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2"/>
      <c r="G55" s="2"/>
      <c r="H55" s="2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2"/>
      <c r="G56" s="2"/>
      <c r="H56" s="2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2"/>
      <c r="G57" s="2"/>
      <c r="H57" s="2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2"/>
      <c r="G58" s="2"/>
      <c r="H58" s="2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2"/>
      <c r="G59" s="2"/>
      <c r="H59" s="2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2"/>
      <c r="G60" s="2"/>
      <c r="H60" s="2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2"/>
      <c r="G61" s="2"/>
      <c r="H61" s="2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2"/>
      <c r="G62" s="2"/>
      <c r="H62" s="2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2"/>
      <c r="G63" s="2"/>
      <c r="H63" s="2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2"/>
      <c r="G64" s="2"/>
      <c r="H64" s="2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2"/>
      <c r="G65" s="2"/>
      <c r="H65" s="2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2"/>
      <c r="G66" s="2"/>
      <c r="H66" s="2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2"/>
      <c r="G67" s="2"/>
      <c r="H67" s="2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2"/>
      <c r="G68" s="2"/>
      <c r="H68" s="2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2"/>
      <c r="G69" s="2"/>
      <c r="H69" s="2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2"/>
      <c r="G70" s="2"/>
      <c r="H70" s="2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2"/>
      <c r="G71" s="2"/>
      <c r="H71" s="2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2"/>
      <c r="G72" s="2"/>
      <c r="H72" s="2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2"/>
      <c r="G73" s="2"/>
      <c r="H73" s="2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2"/>
      <c r="G74" s="2"/>
      <c r="H74" s="2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2"/>
      <c r="G75" s="2"/>
      <c r="H75" s="2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2"/>
      <c r="G76" s="2"/>
      <c r="H76" s="2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2"/>
      <c r="G77" s="2"/>
      <c r="H77" s="2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2"/>
      <c r="G78" s="2"/>
      <c r="H78" s="2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2"/>
      <c r="G79" s="2"/>
      <c r="H79" s="2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2"/>
      <c r="G80" s="2"/>
      <c r="H80" s="2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2"/>
      <c r="G81" s="2"/>
      <c r="H81" s="2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2"/>
      <c r="G82" s="2"/>
      <c r="H82" s="2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2"/>
      <c r="G83" s="2"/>
      <c r="H83" s="2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2"/>
      <c r="G84" s="2"/>
      <c r="H84" s="2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2"/>
      <c r="G85" s="2"/>
      <c r="H85" s="2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2"/>
      <c r="G86" s="2"/>
      <c r="H86" s="2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2"/>
      <c r="G87" s="2"/>
      <c r="H87" s="2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2"/>
      <c r="G88" s="2"/>
      <c r="H88" s="2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2"/>
      <c r="G89" s="2"/>
      <c r="H89" s="2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2"/>
      <c r="G90" s="2"/>
      <c r="H90" s="2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2"/>
      <c r="G91" s="2"/>
      <c r="H91" s="2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2"/>
      <c r="G92" s="2"/>
      <c r="H92" s="2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2"/>
      <c r="G93" s="2"/>
      <c r="H93" s="2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2"/>
      <c r="G94" s="2"/>
      <c r="H94" s="2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2"/>
      <c r="G95" s="2"/>
      <c r="H95" s="2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2"/>
      <c r="G96" s="2"/>
      <c r="H96" s="2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2"/>
      <c r="G97" s="2"/>
      <c r="H97" s="2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2"/>
      <c r="G98" s="2"/>
      <c r="H98" s="2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2"/>
      <c r="G99" s="2"/>
      <c r="H99" s="2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2"/>
      <c r="G100" s="2"/>
      <c r="H100" s="2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2"/>
      <c r="G101" s="2"/>
      <c r="H101" s="2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2"/>
      <c r="G102" s="2"/>
      <c r="H102" s="2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2"/>
      <c r="G103" s="2"/>
      <c r="H103" s="2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2"/>
      <c r="G104" s="2"/>
      <c r="H104" s="2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2"/>
      <c r="G105" s="2"/>
      <c r="H105" s="2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2"/>
      <c r="G106" s="2"/>
      <c r="H106" s="2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2"/>
      <c r="G107" s="2"/>
      <c r="H107" s="2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2"/>
      <c r="G108" s="2"/>
      <c r="H108" s="2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2"/>
      <c r="G109" s="2"/>
      <c r="H109" s="2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2"/>
      <c r="G110" s="2"/>
      <c r="H110" s="2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2"/>
      <c r="G111" s="2"/>
      <c r="H111" s="2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2"/>
      <c r="G112" s="2"/>
      <c r="H112" s="2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2"/>
      <c r="G113" s="2"/>
      <c r="H113" s="2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2"/>
      <c r="G114" s="2"/>
      <c r="H114" s="2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2"/>
      <c r="G115" s="2"/>
      <c r="H115" s="2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2"/>
      <c r="G116" s="2"/>
      <c r="H116" s="2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2"/>
      <c r="G117" s="2"/>
      <c r="H117" s="2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2"/>
      <c r="G118" s="2"/>
      <c r="H118" s="2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2"/>
      <c r="G119" s="2"/>
      <c r="H119" s="2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2"/>
      <c r="G120" s="2"/>
      <c r="H120" s="2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2"/>
      <c r="G121" s="2"/>
      <c r="H121" s="2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2"/>
      <c r="G122" s="2"/>
      <c r="H122" s="2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2"/>
      <c r="G123" s="2"/>
      <c r="H123" s="2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2"/>
      <c r="G124" s="2"/>
      <c r="H124" s="2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2"/>
      <c r="G125" s="2"/>
      <c r="H125" s="2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2"/>
      <c r="G126" s="2"/>
      <c r="H126" s="2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2"/>
      <c r="G127" s="2"/>
      <c r="H127" s="2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2"/>
      <c r="G128" s="2"/>
      <c r="H128" s="2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2"/>
      <c r="G129" s="2"/>
      <c r="H129" s="2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2"/>
      <c r="G130" s="2"/>
      <c r="H130" s="2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2"/>
      <c r="G131" s="2"/>
      <c r="H131" s="2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2"/>
      <c r="G132" s="2"/>
      <c r="H132" s="2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2"/>
      <c r="G133" s="2"/>
      <c r="H133" s="2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2"/>
      <c r="G134" s="2"/>
      <c r="H134" s="2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2"/>
      <c r="G135" s="2"/>
      <c r="H135" s="2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2"/>
      <c r="G136" s="2"/>
      <c r="H136" s="2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2"/>
      <c r="G137" s="2"/>
      <c r="H137" s="2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2"/>
      <c r="G138" s="2"/>
      <c r="H138" s="2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2"/>
      <c r="G139" s="2"/>
      <c r="H139" s="2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2"/>
      <c r="G140" s="2"/>
      <c r="H140" s="2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2"/>
      <c r="G141" s="2"/>
      <c r="H141" s="2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2"/>
      <c r="G142" s="2"/>
      <c r="H142" s="2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2"/>
      <c r="G143" s="2"/>
      <c r="H143" s="2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2"/>
      <c r="G144" s="2"/>
      <c r="H144" s="2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2"/>
      <c r="G145" s="2"/>
      <c r="H145" s="2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2"/>
      <c r="G146" s="2"/>
      <c r="H146" s="2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2"/>
      <c r="G147" s="2"/>
      <c r="H147" s="2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2"/>
      <c r="G148" s="2"/>
      <c r="H148" s="2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2"/>
      <c r="G149" s="2"/>
      <c r="H149" s="2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2"/>
      <c r="G150" s="2"/>
      <c r="H150" s="2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2"/>
      <c r="G151" s="2"/>
      <c r="H151" s="2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2"/>
      <c r="G152" s="2"/>
      <c r="H152" s="2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2"/>
      <c r="G153" s="2"/>
      <c r="H153" s="2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2"/>
      <c r="G154" s="2"/>
      <c r="H154" s="2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2"/>
      <c r="G155" s="2"/>
      <c r="H155" s="2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2"/>
      <c r="G156" s="2"/>
      <c r="H156" s="2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2"/>
      <c r="G157" s="2"/>
      <c r="H157" s="2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2"/>
      <c r="G158" s="2"/>
      <c r="H158" s="2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2"/>
      <c r="G159" s="2"/>
      <c r="H159" s="2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2"/>
      <c r="G160" s="2"/>
      <c r="H160" s="2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2"/>
      <c r="G161" s="2"/>
      <c r="H161" s="2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2"/>
      <c r="G162" s="2"/>
      <c r="H162" s="2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2"/>
      <c r="G163" s="2"/>
      <c r="H163" s="2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2"/>
      <c r="G164" s="2"/>
      <c r="H164" s="2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2"/>
      <c r="G165" s="2"/>
      <c r="H165" s="2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2"/>
      <c r="G166" s="2"/>
      <c r="H166" s="2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2"/>
      <c r="G167" s="2"/>
      <c r="H167" s="2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2"/>
      <c r="G168" s="2"/>
      <c r="H168" s="2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2"/>
      <c r="G169" s="2"/>
      <c r="H169" s="2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2"/>
      <c r="G170" s="2"/>
      <c r="H170" s="2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2"/>
      <c r="G171" s="2"/>
      <c r="H171" s="2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2"/>
      <c r="G172" s="2"/>
      <c r="H172" s="2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2"/>
      <c r="G173" s="2"/>
      <c r="H173" s="2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2"/>
      <c r="G174" s="2"/>
      <c r="H174" s="2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2"/>
      <c r="G175" s="2"/>
      <c r="H175" s="2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2"/>
      <c r="G176" s="2"/>
      <c r="H176" s="2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2"/>
      <c r="G177" s="2"/>
      <c r="H177" s="2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2"/>
      <c r="G178" s="2"/>
      <c r="H178" s="2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2"/>
      <c r="G179" s="2"/>
      <c r="H179" s="2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2"/>
      <c r="G180" s="2"/>
      <c r="H180" s="2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2"/>
      <c r="G181" s="2"/>
      <c r="H181" s="2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2"/>
      <c r="G182" s="2"/>
      <c r="H182" s="2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2"/>
      <c r="G183" s="2"/>
      <c r="H183" s="2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2"/>
      <c r="G184" s="2"/>
      <c r="H184" s="2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2"/>
      <c r="G185" s="2"/>
      <c r="H185" s="2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2"/>
      <c r="G186" s="2"/>
      <c r="H186" s="2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2"/>
      <c r="G187" s="2"/>
      <c r="H187" s="2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2"/>
      <c r="G188" s="2"/>
      <c r="H188" s="2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2"/>
      <c r="G189" s="2"/>
      <c r="H189" s="2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2"/>
      <c r="G190" s="2"/>
      <c r="H190" s="2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2"/>
      <c r="G191" s="2"/>
      <c r="H191" s="2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2"/>
      <c r="G192" s="2"/>
      <c r="H192" s="2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2"/>
      <c r="G193" s="2"/>
      <c r="H193" s="2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2"/>
      <c r="G194" s="2"/>
      <c r="H194" s="2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2"/>
      <c r="G195" s="2"/>
      <c r="H195" s="2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2"/>
      <c r="G196" s="2"/>
      <c r="H196" s="2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2"/>
      <c r="G197" s="2"/>
      <c r="H197" s="2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2"/>
      <c r="G198" s="2"/>
      <c r="H198" s="2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2"/>
      <c r="G199" s="2"/>
      <c r="H199" s="2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2"/>
      <c r="G200" s="2"/>
      <c r="H200" s="2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2"/>
      <c r="G201" s="2"/>
      <c r="H201" s="2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2"/>
      <c r="G202" s="2"/>
      <c r="H202" s="2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2"/>
      <c r="G203" s="2"/>
      <c r="H203" s="2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2"/>
      <c r="G204" s="2"/>
      <c r="H204" s="2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2"/>
      <c r="G205" s="2"/>
      <c r="H205" s="2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2"/>
      <c r="G206" s="2"/>
      <c r="H206" s="2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2"/>
      <c r="G207" s="2"/>
      <c r="H207" s="2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2"/>
      <c r="G208" s="2"/>
      <c r="H208" s="2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2"/>
      <c r="G209" s="2"/>
      <c r="H209" s="2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2"/>
      <c r="G210" s="2"/>
      <c r="H210" s="2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2"/>
      <c r="G211" s="2"/>
      <c r="H211" s="2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2"/>
      <c r="G212" s="2"/>
      <c r="H212" s="2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2"/>
      <c r="G213" s="2"/>
      <c r="H213" s="2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2"/>
      <c r="G214" s="2"/>
      <c r="H214" s="2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2"/>
      <c r="G215" s="2"/>
      <c r="H215" s="2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2"/>
      <c r="G216" s="2"/>
      <c r="H216" s="2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2"/>
      <c r="G217" s="2"/>
      <c r="H217" s="2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2"/>
      <c r="G218" s="2"/>
      <c r="H218" s="2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2"/>
      <c r="G219" s="2"/>
      <c r="H219" s="2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2"/>
      <c r="G220" s="2"/>
      <c r="H220" s="2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2"/>
      <c r="G221" s="2"/>
      <c r="H221" s="2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2"/>
      <c r="G222" s="2"/>
      <c r="H222" s="2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2"/>
      <c r="G223" s="2"/>
      <c r="H223" s="2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2"/>
      <c r="G224" s="2"/>
      <c r="H224" s="2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2"/>
      <c r="G225" s="2"/>
      <c r="H225" s="2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2"/>
      <c r="G226" s="2"/>
      <c r="H226" s="2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2"/>
      <c r="G227" s="2"/>
      <c r="H227" s="2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2"/>
      <c r="G228" s="2"/>
      <c r="H228" s="2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2"/>
      <c r="G229" s="2"/>
      <c r="H229" s="2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2"/>
      <c r="G230" s="2"/>
      <c r="H230" s="2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2"/>
      <c r="G231" s="2"/>
      <c r="H231" s="2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2"/>
      <c r="G232" s="2"/>
      <c r="H232" s="2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2"/>
      <c r="G233" s="2"/>
      <c r="H233" s="2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2"/>
      <c r="G234" s="2"/>
      <c r="H234" s="2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2"/>
      <c r="G235" s="2"/>
      <c r="H235" s="2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2"/>
      <c r="G236" s="2"/>
      <c r="H236" s="2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2"/>
      <c r="G237" s="2"/>
      <c r="H237" s="2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2"/>
      <c r="G238" s="2"/>
      <c r="H238" s="2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2"/>
      <c r="G239" s="2"/>
      <c r="H239" s="2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2"/>
      <c r="G240" s="2"/>
      <c r="H240" s="2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2"/>
      <c r="G241" s="2"/>
      <c r="H241" s="2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2"/>
      <c r="G242" s="2"/>
      <c r="H242" s="2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2"/>
      <c r="G243" s="2"/>
      <c r="H243" s="2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2"/>
      <c r="G244" s="2"/>
      <c r="H244" s="2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2"/>
      <c r="G245" s="2"/>
      <c r="H245" s="2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2"/>
      <c r="G246" s="2"/>
      <c r="H246" s="2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2"/>
      <c r="G247" s="2"/>
      <c r="H247" s="2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2"/>
      <c r="G248" s="2"/>
      <c r="H248" s="2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2"/>
      <c r="G249" s="2"/>
      <c r="H249" s="2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2"/>
      <c r="G250" s="2"/>
      <c r="H250" s="2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2"/>
      <c r="G251" s="2"/>
      <c r="H251" s="2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2"/>
      <c r="G252" s="2"/>
      <c r="H252" s="2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2"/>
      <c r="G253" s="2"/>
      <c r="H253" s="2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2"/>
      <c r="G254" s="2"/>
      <c r="H254" s="2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2"/>
      <c r="G255" s="2"/>
      <c r="H255" s="2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2"/>
      <c r="G256" s="2"/>
      <c r="H256" s="2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2"/>
      <c r="G257" s="2"/>
      <c r="H257" s="2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2"/>
      <c r="G258" s="2"/>
      <c r="H258" s="2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2"/>
      <c r="G259" s="2"/>
      <c r="H259" s="2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2"/>
      <c r="G260" s="2"/>
      <c r="H260" s="2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2"/>
      <c r="G261" s="2"/>
      <c r="H261" s="2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2"/>
      <c r="G262" s="2"/>
      <c r="H262" s="2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2"/>
      <c r="G263" s="2"/>
      <c r="H263" s="2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2"/>
      <c r="G264" s="2"/>
      <c r="H264" s="2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2"/>
      <c r="G265" s="2"/>
      <c r="H265" s="2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2"/>
      <c r="G266" s="2"/>
      <c r="H266" s="2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2"/>
      <c r="G267" s="2"/>
      <c r="H267" s="2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2"/>
      <c r="G268" s="2"/>
      <c r="H268" s="2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2"/>
      <c r="G269" s="2"/>
      <c r="H269" s="2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2"/>
      <c r="G270" s="2"/>
      <c r="H270" s="2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2"/>
      <c r="G271" s="2"/>
      <c r="H271" s="2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2"/>
      <c r="G272" s="2"/>
      <c r="H272" s="2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2"/>
      <c r="G273" s="2"/>
      <c r="H273" s="2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2"/>
      <c r="G274" s="2"/>
      <c r="H274" s="2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2"/>
      <c r="G275" s="2"/>
      <c r="H275" s="2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2"/>
      <c r="G276" s="2"/>
      <c r="H276" s="2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2"/>
      <c r="G277" s="2"/>
      <c r="H277" s="2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2"/>
      <c r="G278" s="2"/>
      <c r="H278" s="2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2"/>
      <c r="G279" s="2"/>
      <c r="H279" s="2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2"/>
      <c r="G280" s="2"/>
      <c r="H280" s="2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2"/>
      <c r="G281" s="2"/>
      <c r="H281" s="2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2"/>
      <c r="G282" s="2"/>
      <c r="H282" s="2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2"/>
      <c r="G283" s="2"/>
      <c r="H283" s="2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2"/>
      <c r="G284" s="2"/>
      <c r="H284" s="2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2"/>
      <c r="G285" s="2"/>
      <c r="H285" s="2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2"/>
      <c r="G286" s="2"/>
      <c r="H286" s="2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2"/>
      <c r="G287" s="2"/>
      <c r="H287" s="2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2"/>
      <c r="G288" s="2"/>
      <c r="H288" s="2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2"/>
      <c r="G289" s="2"/>
      <c r="H289" s="2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2"/>
      <c r="G290" s="2"/>
      <c r="H290" s="2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2"/>
      <c r="G291" s="2"/>
      <c r="H291" s="2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2"/>
      <c r="G292" s="2"/>
      <c r="H292" s="2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2"/>
      <c r="G293" s="2"/>
      <c r="H293" s="2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2"/>
      <c r="G294" s="2"/>
      <c r="H294" s="2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2"/>
      <c r="G295" s="2"/>
      <c r="H295" s="2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2"/>
      <c r="G296" s="2"/>
      <c r="H296" s="2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2"/>
      <c r="G297" s="2"/>
      <c r="H297" s="2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2"/>
      <c r="G298" s="2"/>
      <c r="H298" s="2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2"/>
      <c r="G299" s="2"/>
      <c r="H299" s="2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2"/>
      <c r="G300" s="2"/>
      <c r="H300" s="2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2"/>
      <c r="G301" s="2"/>
      <c r="H301" s="2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2"/>
      <c r="G302" s="2"/>
      <c r="H302" s="2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2"/>
      <c r="G303" s="2"/>
      <c r="H303" s="2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2"/>
      <c r="G304" s="2"/>
      <c r="H304" s="2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2"/>
      <c r="G305" s="2"/>
      <c r="H305" s="2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2"/>
      <c r="G306" s="2"/>
      <c r="H306" s="2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2"/>
      <c r="G307" s="2"/>
      <c r="H307" s="2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2"/>
      <c r="G308" s="2"/>
      <c r="H308" s="2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2"/>
      <c r="G309" s="2"/>
      <c r="H309" s="2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2"/>
      <c r="G310" s="2"/>
      <c r="H310" s="2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2"/>
      <c r="G311" s="2"/>
      <c r="H311" s="2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2"/>
      <c r="G312" s="2"/>
      <c r="H312" s="2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2"/>
      <c r="G313" s="2"/>
      <c r="H313" s="2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2"/>
      <c r="G314" s="2"/>
      <c r="H314" s="2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2"/>
      <c r="G315" s="2"/>
      <c r="H315" s="2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2"/>
      <c r="G316" s="2"/>
      <c r="H316" s="2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2"/>
      <c r="G317" s="2"/>
      <c r="H317" s="2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2"/>
      <c r="G318" s="2"/>
      <c r="H318" s="2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2"/>
      <c r="G319" s="2"/>
      <c r="H319" s="2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2"/>
      <c r="G320" s="2"/>
      <c r="H320" s="2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2"/>
      <c r="G321" s="2"/>
      <c r="H321" s="2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2"/>
      <c r="G322" s="2"/>
      <c r="H322" s="2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2"/>
      <c r="G323" s="2"/>
      <c r="H323" s="2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2"/>
      <c r="G324" s="2"/>
      <c r="H324" s="2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2"/>
      <c r="G325" s="2"/>
      <c r="H325" s="2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2"/>
      <c r="G326" s="2"/>
      <c r="H326" s="2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2"/>
      <c r="G327" s="2"/>
      <c r="H327" s="2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2"/>
      <c r="G328" s="2"/>
      <c r="H328" s="2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2"/>
      <c r="G329" s="2"/>
      <c r="H329" s="2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2"/>
      <c r="G330" s="2"/>
      <c r="H330" s="2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2"/>
      <c r="G331" s="2"/>
      <c r="H331" s="2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2"/>
      <c r="G332" s="2"/>
      <c r="H332" s="2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2"/>
      <c r="G333" s="2"/>
      <c r="H333" s="2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2"/>
      <c r="G334" s="2"/>
      <c r="H334" s="2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2"/>
      <c r="G335" s="2"/>
      <c r="H335" s="2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2"/>
      <c r="G336" s="2"/>
      <c r="H336" s="2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2"/>
      <c r="G337" s="2"/>
      <c r="H337" s="2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2"/>
      <c r="G338" s="2"/>
      <c r="H338" s="2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2"/>
      <c r="G339" s="2"/>
      <c r="H339" s="2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2"/>
      <c r="G340" s="2"/>
      <c r="H340" s="2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2"/>
      <c r="G341" s="2"/>
      <c r="H341" s="2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2"/>
      <c r="G342" s="2"/>
      <c r="H342" s="2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2"/>
      <c r="G343" s="2"/>
      <c r="H343" s="2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2"/>
      <c r="G344" s="2"/>
      <c r="H344" s="2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2"/>
      <c r="G345" s="2"/>
      <c r="H345" s="2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2"/>
      <c r="G346" s="2"/>
      <c r="H346" s="2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2"/>
      <c r="G347" s="2"/>
      <c r="H347" s="2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2"/>
      <c r="G348" s="2"/>
      <c r="H348" s="2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2"/>
      <c r="G349" s="2"/>
      <c r="H349" s="2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2"/>
      <c r="G350" s="2"/>
      <c r="H350" s="2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2"/>
      <c r="G351" s="2"/>
      <c r="H351" s="2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2"/>
      <c r="G352" s="2"/>
      <c r="H352" s="2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2"/>
      <c r="G353" s="2"/>
      <c r="H353" s="2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2"/>
      <c r="G354" s="2"/>
      <c r="H354" s="2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2"/>
      <c r="G355" s="2"/>
      <c r="H355" s="2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2"/>
      <c r="G356" s="2"/>
      <c r="H356" s="2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2"/>
      <c r="G357" s="2"/>
      <c r="H357" s="2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2"/>
      <c r="G358" s="2"/>
      <c r="H358" s="2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2"/>
      <c r="G359" s="2"/>
      <c r="H359" s="2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2"/>
      <c r="G360" s="2"/>
      <c r="H360" s="2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2"/>
      <c r="G361" s="2"/>
      <c r="H361" s="2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2"/>
      <c r="G362" s="2"/>
      <c r="H362" s="2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2"/>
      <c r="G363" s="2"/>
      <c r="H363" s="2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2"/>
      <c r="G364" s="2"/>
      <c r="H364" s="2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2"/>
      <c r="G365" s="2"/>
      <c r="H365" s="2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2"/>
      <c r="G366" s="2"/>
      <c r="H366" s="2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2"/>
      <c r="G367" s="2"/>
      <c r="H367" s="2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2"/>
      <c r="G368" s="2"/>
      <c r="H368" s="2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2"/>
      <c r="G369" s="2"/>
      <c r="H369" s="2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2"/>
      <c r="G370" s="2"/>
      <c r="H370" s="2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2"/>
      <c r="G371" s="2"/>
      <c r="H371" s="2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2"/>
      <c r="G372" s="2"/>
      <c r="H372" s="2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2"/>
      <c r="G373" s="2"/>
      <c r="H373" s="2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2"/>
      <c r="G374" s="2"/>
      <c r="H374" s="2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2"/>
      <c r="G375" s="2"/>
      <c r="H375" s="2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2"/>
      <c r="G376" s="2"/>
      <c r="H376" s="2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2"/>
      <c r="G377" s="2"/>
      <c r="H377" s="2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2"/>
      <c r="G378" s="2"/>
      <c r="H378" s="2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2"/>
      <c r="G379" s="2"/>
      <c r="H379" s="2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2"/>
      <c r="G380" s="2"/>
      <c r="H380" s="2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2"/>
      <c r="G381" s="2"/>
      <c r="H381" s="2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2"/>
      <c r="G382" s="2"/>
      <c r="H382" s="2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2"/>
      <c r="G383" s="2"/>
      <c r="H383" s="2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2"/>
      <c r="G384" s="2"/>
      <c r="H384" s="2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2"/>
      <c r="G385" s="2"/>
      <c r="H385" s="2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2"/>
      <c r="G386" s="2"/>
      <c r="H386" s="2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2"/>
      <c r="G387" s="2"/>
      <c r="H387" s="2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2"/>
      <c r="G388" s="2"/>
      <c r="H388" s="2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2"/>
      <c r="G389" s="2"/>
      <c r="H389" s="2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2"/>
      <c r="G390" s="2"/>
      <c r="H390" s="2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2"/>
      <c r="G391" s="2"/>
      <c r="H391" s="2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2"/>
      <c r="G392" s="2"/>
      <c r="H392" s="2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2"/>
      <c r="G393" s="2"/>
      <c r="H393" s="2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2"/>
      <c r="G394" s="2"/>
      <c r="H394" s="2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2"/>
      <c r="G395" s="2"/>
      <c r="H395" s="2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2"/>
      <c r="G396" s="2"/>
      <c r="H396" s="2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2"/>
      <c r="G397" s="2"/>
      <c r="H397" s="2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2"/>
      <c r="G398" s="2"/>
      <c r="H398" s="2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2"/>
      <c r="G399" s="2"/>
      <c r="H399" s="2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2"/>
      <c r="G400" s="2"/>
      <c r="H400" s="2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2"/>
      <c r="G401" s="2"/>
      <c r="H401" s="2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2"/>
      <c r="G402" s="2"/>
      <c r="H402" s="2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2"/>
      <c r="G403" s="2"/>
      <c r="H403" s="2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2"/>
      <c r="G404" s="2"/>
      <c r="H404" s="2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2"/>
      <c r="G405" s="2"/>
      <c r="H405" s="2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2"/>
      <c r="G406" s="2"/>
      <c r="H406" s="2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2"/>
      <c r="G407" s="2"/>
      <c r="H407" s="2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2"/>
      <c r="G408" s="2"/>
      <c r="H408" s="2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2"/>
      <c r="G409" s="2"/>
      <c r="H409" s="2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2"/>
      <c r="G410" s="2"/>
      <c r="H410" s="2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2"/>
      <c r="G411" s="2"/>
      <c r="H411" s="2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2"/>
      <c r="G412" s="2"/>
      <c r="H412" s="2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2"/>
      <c r="G413" s="2"/>
      <c r="H413" s="2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2"/>
      <c r="G414" s="2"/>
      <c r="H414" s="2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2"/>
      <c r="G415" s="2"/>
      <c r="H415" s="2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2"/>
      <c r="G416" s="2"/>
      <c r="H416" s="2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2"/>
      <c r="G417" s="2"/>
      <c r="H417" s="2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2"/>
      <c r="G418" s="2"/>
      <c r="H418" s="2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2"/>
      <c r="G419" s="2"/>
      <c r="H419" s="2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2"/>
      <c r="G420" s="2"/>
      <c r="H420" s="2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2"/>
      <c r="G421" s="2"/>
      <c r="H421" s="2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2"/>
      <c r="G422" s="2"/>
      <c r="H422" s="2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2"/>
      <c r="G423" s="2"/>
      <c r="H423" s="2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2"/>
      <c r="G424" s="2"/>
      <c r="H424" s="2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2"/>
      <c r="G425" s="2"/>
      <c r="H425" s="2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2"/>
      <c r="G426" s="2"/>
      <c r="H426" s="2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2"/>
      <c r="G427" s="2"/>
      <c r="H427" s="2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2"/>
      <c r="G428" s="2"/>
      <c r="H428" s="2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2"/>
      <c r="G429" s="2"/>
      <c r="H429" s="2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2"/>
      <c r="G430" s="2"/>
      <c r="H430" s="2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2"/>
      <c r="G431" s="2"/>
      <c r="H431" s="2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2"/>
      <c r="G432" s="2"/>
      <c r="H432" s="2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2"/>
      <c r="G433" s="2"/>
      <c r="H433" s="2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2"/>
      <c r="G434" s="2"/>
      <c r="H434" s="2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2"/>
      <c r="G435" s="2"/>
      <c r="H435" s="2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2"/>
      <c r="G436" s="2"/>
      <c r="H436" s="2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2"/>
      <c r="G437" s="2"/>
      <c r="H437" s="2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2"/>
      <c r="G438" s="2"/>
      <c r="H438" s="2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2"/>
      <c r="G439" s="2"/>
      <c r="H439" s="2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2"/>
      <c r="G440" s="2"/>
      <c r="H440" s="2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2"/>
      <c r="G441" s="2"/>
      <c r="H441" s="2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2"/>
      <c r="G442" s="2"/>
      <c r="H442" s="2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2"/>
      <c r="G443" s="2"/>
      <c r="H443" s="2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2"/>
      <c r="G444" s="2"/>
      <c r="H444" s="2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2"/>
      <c r="G445" s="2"/>
      <c r="H445" s="2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2"/>
      <c r="G446" s="2"/>
      <c r="H446" s="2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2"/>
      <c r="G447" s="2"/>
      <c r="H447" s="2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2"/>
      <c r="G448" s="2"/>
      <c r="H448" s="2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2"/>
      <c r="G449" s="2"/>
      <c r="H449" s="2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2"/>
      <c r="G450" s="2"/>
      <c r="H450" s="2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2"/>
      <c r="G451" s="2"/>
      <c r="H451" s="2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2"/>
      <c r="G452" s="2"/>
      <c r="H452" s="2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2"/>
      <c r="G453" s="2"/>
      <c r="H453" s="2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2"/>
      <c r="G454" s="2"/>
      <c r="H454" s="2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2"/>
      <c r="G455" s="2"/>
      <c r="H455" s="2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2"/>
      <c r="G456" s="2"/>
      <c r="H456" s="2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2"/>
      <c r="G457" s="2"/>
      <c r="H457" s="2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2"/>
      <c r="G458" s="2"/>
      <c r="H458" s="2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2"/>
      <c r="G459" s="2"/>
      <c r="H459" s="2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2"/>
      <c r="G460" s="2"/>
      <c r="H460" s="2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2"/>
      <c r="G461" s="2"/>
      <c r="H461" s="2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2"/>
      <c r="G462" s="2"/>
      <c r="H462" s="2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2"/>
      <c r="G463" s="2"/>
      <c r="H463" s="2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2"/>
      <c r="G464" s="2"/>
      <c r="H464" s="2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2"/>
      <c r="G465" s="2"/>
      <c r="H465" s="2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2"/>
      <c r="G466" s="2"/>
      <c r="H466" s="2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2"/>
      <c r="G467" s="2"/>
      <c r="H467" s="2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2"/>
      <c r="G468" s="2"/>
      <c r="H468" s="2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2"/>
      <c r="G469" s="2"/>
      <c r="H469" s="2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2"/>
      <c r="G470" s="2"/>
      <c r="H470" s="2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2"/>
      <c r="G471" s="2"/>
      <c r="H471" s="2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2"/>
      <c r="G472" s="2"/>
      <c r="H472" s="2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2"/>
      <c r="G473" s="2"/>
      <c r="H473" s="2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2"/>
      <c r="G474" s="2"/>
      <c r="H474" s="2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2"/>
      <c r="G475" s="2"/>
      <c r="H475" s="2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2"/>
      <c r="G476" s="2"/>
      <c r="H476" s="2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2"/>
      <c r="G477" s="2"/>
      <c r="H477" s="2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2"/>
      <c r="G478" s="2"/>
      <c r="H478" s="2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2"/>
      <c r="G479" s="2"/>
      <c r="H479" s="2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2"/>
      <c r="G480" s="2"/>
      <c r="H480" s="2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2"/>
      <c r="G481" s="2"/>
      <c r="H481" s="2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2"/>
      <c r="G482" s="2"/>
      <c r="H482" s="2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2"/>
      <c r="G483" s="2"/>
      <c r="H483" s="2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2"/>
      <c r="G484" s="2"/>
      <c r="H484" s="2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2"/>
      <c r="G485" s="2"/>
      <c r="H485" s="2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2"/>
      <c r="G486" s="2"/>
      <c r="H486" s="2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2"/>
      <c r="G487" s="2"/>
      <c r="H487" s="2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2"/>
      <c r="G488" s="2"/>
      <c r="H488" s="2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2"/>
      <c r="G489" s="2"/>
      <c r="H489" s="2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2"/>
      <c r="G490" s="2"/>
      <c r="H490" s="2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2"/>
      <c r="G491" s="2"/>
      <c r="H491" s="2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2"/>
      <c r="G492" s="2"/>
      <c r="H492" s="2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2"/>
      <c r="G493" s="2"/>
      <c r="H493" s="2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2"/>
      <c r="G494" s="2"/>
      <c r="H494" s="2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2"/>
      <c r="G495" s="2"/>
      <c r="H495" s="2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2"/>
      <c r="G496" s="2"/>
      <c r="H496" s="2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2"/>
      <c r="G497" s="2"/>
      <c r="H497" s="2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2"/>
      <c r="G498" s="2"/>
      <c r="H498" s="2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2"/>
      <c r="G499" s="2"/>
      <c r="H499" s="2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2"/>
      <c r="G500" s="2"/>
      <c r="H500" s="2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2"/>
      <c r="G501" s="2"/>
      <c r="H501" s="2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2"/>
      <c r="G502" s="2"/>
      <c r="H502" s="2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2"/>
      <c r="G503" s="2"/>
      <c r="H503" s="2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2"/>
      <c r="G504" s="2"/>
      <c r="H504" s="2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2"/>
      <c r="G505" s="2"/>
      <c r="H505" s="2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2"/>
      <c r="G506" s="2"/>
      <c r="H506" s="2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2"/>
      <c r="G507" s="2"/>
      <c r="H507" s="2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2"/>
      <c r="G508" s="2"/>
      <c r="H508" s="2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2"/>
      <c r="G509" s="2"/>
      <c r="H509" s="2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2"/>
      <c r="G510" s="2"/>
      <c r="H510" s="2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2"/>
      <c r="G511" s="2"/>
      <c r="H511" s="2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2"/>
      <c r="G512" s="2"/>
      <c r="H512" s="2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2"/>
      <c r="G513" s="2"/>
      <c r="H513" s="2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2"/>
      <c r="G514" s="2"/>
      <c r="H514" s="2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2"/>
      <c r="G515" s="2"/>
      <c r="H515" s="2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2"/>
      <c r="G516" s="2"/>
      <c r="H516" s="2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2"/>
      <c r="G517" s="2"/>
      <c r="H517" s="2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2"/>
      <c r="G518" s="2"/>
      <c r="H518" s="2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2"/>
      <c r="G519" s="2"/>
      <c r="H519" s="2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2"/>
      <c r="G520" s="2"/>
      <c r="H520" s="2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2"/>
      <c r="G521" s="2"/>
      <c r="H521" s="2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2"/>
      <c r="G522" s="2"/>
      <c r="H522" s="2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2"/>
      <c r="G523" s="2"/>
      <c r="H523" s="2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2"/>
      <c r="G524" s="2"/>
      <c r="H524" s="2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2"/>
      <c r="G525" s="2"/>
      <c r="H525" s="2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2"/>
      <c r="G526" s="2"/>
      <c r="H526" s="2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2"/>
      <c r="G527" s="2"/>
      <c r="H527" s="2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2"/>
      <c r="G528" s="2"/>
      <c r="H528" s="2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2"/>
      <c r="G529" s="2"/>
      <c r="H529" s="2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2"/>
      <c r="G530" s="2"/>
      <c r="H530" s="2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2"/>
      <c r="G531" s="2"/>
      <c r="H531" s="2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2"/>
      <c r="G532" s="2"/>
      <c r="H532" s="2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2"/>
      <c r="G533" s="2"/>
      <c r="H533" s="2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2"/>
      <c r="G534" s="2"/>
      <c r="H534" s="2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2"/>
      <c r="G535" s="2"/>
      <c r="H535" s="2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2"/>
      <c r="G536" s="2"/>
      <c r="H536" s="2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2"/>
      <c r="G537" s="2"/>
      <c r="H537" s="2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2"/>
      <c r="G538" s="2"/>
      <c r="H538" s="2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2"/>
      <c r="G539" s="2"/>
      <c r="H539" s="2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2"/>
      <c r="G540" s="2"/>
      <c r="H540" s="2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2"/>
      <c r="G541" s="2"/>
      <c r="H541" s="2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2"/>
      <c r="G542" s="2"/>
      <c r="H542" s="2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2"/>
      <c r="G543" s="2"/>
      <c r="H543" s="2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2"/>
      <c r="G544" s="2"/>
      <c r="H544" s="2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2"/>
      <c r="G545" s="2"/>
      <c r="H545" s="2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2"/>
      <c r="G546" s="2"/>
      <c r="H546" s="2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2"/>
      <c r="G547" s="2"/>
      <c r="H547" s="2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2"/>
      <c r="G548" s="2"/>
      <c r="H548" s="2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2"/>
      <c r="G549" s="2"/>
      <c r="H549" s="2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2"/>
      <c r="G550" s="2"/>
      <c r="H550" s="2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2"/>
      <c r="G551" s="2"/>
      <c r="H551" s="2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2"/>
      <c r="G552" s="2"/>
      <c r="H552" s="2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2"/>
      <c r="G553" s="2"/>
      <c r="H553" s="2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2"/>
      <c r="G554" s="2"/>
      <c r="H554" s="2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2"/>
      <c r="G555" s="2"/>
      <c r="H555" s="2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2"/>
      <c r="G556" s="2"/>
      <c r="H556" s="2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2"/>
      <c r="G557" s="2"/>
      <c r="H557" s="2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2"/>
      <c r="G558" s="2"/>
      <c r="H558" s="2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2"/>
      <c r="G559" s="2"/>
      <c r="H559" s="2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2"/>
      <c r="G560" s="2"/>
      <c r="H560" s="2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2"/>
      <c r="G561" s="2"/>
      <c r="H561" s="2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2"/>
      <c r="G562" s="2"/>
      <c r="H562" s="2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2"/>
      <c r="G563" s="2"/>
      <c r="H563" s="2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2"/>
      <c r="G564" s="2"/>
      <c r="H564" s="2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2"/>
      <c r="G565" s="2"/>
      <c r="H565" s="2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2"/>
      <c r="G566" s="2"/>
      <c r="H566" s="2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2"/>
      <c r="G567" s="2"/>
      <c r="H567" s="2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2"/>
      <c r="G568" s="2"/>
      <c r="H568" s="2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2"/>
      <c r="G569" s="2"/>
      <c r="H569" s="2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2"/>
      <c r="G570" s="2"/>
      <c r="H570" s="2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2"/>
      <c r="G571" s="2"/>
      <c r="H571" s="2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2"/>
      <c r="G572" s="2"/>
      <c r="H572" s="2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2"/>
      <c r="G573" s="2"/>
      <c r="H573" s="2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2"/>
      <c r="G574" s="2"/>
      <c r="H574" s="2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2"/>
      <c r="G575" s="2"/>
      <c r="H575" s="2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2"/>
      <c r="G576" s="2"/>
      <c r="H576" s="2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2"/>
      <c r="G577" s="2"/>
      <c r="H577" s="2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2"/>
      <c r="G578" s="2"/>
      <c r="H578" s="2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2"/>
      <c r="G579" s="2"/>
      <c r="H579" s="2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2"/>
      <c r="G580" s="2"/>
      <c r="H580" s="2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2"/>
      <c r="G581" s="2"/>
      <c r="H581" s="2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2"/>
      <c r="G582" s="2"/>
      <c r="H582" s="2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2"/>
      <c r="G583" s="2"/>
      <c r="H583" s="2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2"/>
      <c r="G584" s="2"/>
      <c r="H584" s="2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2"/>
      <c r="G585" s="2"/>
      <c r="H585" s="2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2"/>
      <c r="G586" s="2"/>
      <c r="H586" s="2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2"/>
      <c r="G587" s="2"/>
      <c r="H587" s="2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2"/>
      <c r="G588" s="2"/>
      <c r="H588" s="2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2"/>
      <c r="G589" s="2"/>
      <c r="H589" s="2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2"/>
      <c r="G590" s="2"/>
      <c r="H590" s="2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2"/>
      <c r="G591" s="2"/>
      <c r="H591" s="2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2"/>
      <c r="G592" s="2"/>
      <c r="H592" s="2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2"/>
      <c r="G593" s="2"/>
      <c r="H593" s="2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2"/>
      <c r="G594" s="2"/>
      <c r="H594" s="2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2"/>
      <c r="G595" s="2"/>
      <c r="H595" s="2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2"/>
      <c r="G596" s="2"/>
      <c r="H596" s="2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2"/>
      <c r="G597" s="2"/>
      <c r="H597" s="2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2"/>
      <c r="G598" s="2"/>
      <c r="H598" s="2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2"/>
      <c r="G599" s="2"/>
      <c r="H599" s="2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2"/>
      <c r="G600" s="2"/>
      <c r="H600" s="2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2"/>
      <c r="G601" s="2"/>
      <c r="H601" s="2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2"/>
      <c r="G602" s="2"/>
      <c r="H602" s="2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2"/>
      <c r="G603" s="2"/>
      <c r="H603" s="2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2"/>
      <c r="G604" s="2"/>
      <c r="H604" s="2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2"/>
      <c r="G605" s="2"/>
      <c r="H605" s="2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2"/>
      <c r="G606" s="2"/>
      <c r="H606" s="2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2"/>
      <c r="G607" s="2"/>
      <c r="H607" s="2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2"/>
      <c r="G608" s="2"/>
      <c r="H608" s="2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2"/>
      <c r="G609" s="2"/>
      <c r="H609" s="2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2"/>
      <c r="G610" s="2"/>
      <c r="H610" s="2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2"/>
      <c r="G611" s="2"/>
      <c r="H611" s="2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2"/>
      <c r="G612" s="2"/>
      <c r="H612" s="2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2"/>
      <c r="G613" s="2"/>
      <c r="H613" s="2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2"/>
      <c r="G614" s="2"/>
      <c r="H614" s="2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2"/>
      <c r="G615" s="2"/>
      <c r="H615" s="2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2"/>
      <c r="G616" s="2"/>
      <c r="H616" s="2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2"/>
      <c r="G617" s="2"/>
      <c r="H617" s="2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2"/>
      <c r="G618" s="2"/>
      <c r="H618" s="2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2"/>
      <c r="G619" s="2"/>
      <c r="H619" s="2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2"/>
      <c r="G620" s="2"/>
      <c r="H620" s="2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2"/>
      <c r="G621" s="2"/>
      <c r="H621" s="2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2"/>
      <c r="G622" s="2"/>
      <c r="H622" s="2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2"/>
      <c r="G623" s="2"/>
      <c r="H623" s="2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2"/>
      <c r="G624" s="2"/>
      <c r="H624" s="2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2"/>
      <c r="G625" s="2"/>
      <c r="H625" s="2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2"/>
      <c r="G626" s="2"/>
      <c r="H626" s="2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2"/>
      <c r="G627" s="2"/>
      <c r="H627" s="2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2"/>
      <c r="G628" s="2"/>
      <c r="H628" s="2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2"/>
      <c r="G629" s="2"/>
      <c r="H629" s="2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2"/>
      <c r="G630" s="2"/>
      <c r="H630" s="2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2"/>
      <c r="G631" s="2"/>
      <c r="H631" s="2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2"/>
      <c r="G632" s="2"/>
      <c r="H632" s="2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2"/>
      <c r="G633" s="2"/>
      <c r="H633" s="2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2"/>
      <c r="G634" s="2"/>
      <c r="H634" s="2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2"/>
      <c r="G635" s="2"/>
      <c r="H635" s="2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2"/>
      <c r="G636" s="2"/>
      <c r="H636" s="2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2"/>
      <c r="G637" s="2"/>
      <c r="H637" s="2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2"/>
      <c r="G638" s="2"/>
      <c r="H638" s="2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2"/>
      <c r="G639" s="2"/>
      <c r="H639" s="2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2"/>
      <c r="G640" s="2"/>
      <c r="H640" s="2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2"/>
      <c r="G641" s="2"/>
      <c r="H641" s="2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2"/>
      <c r="G642" s="2"/>
      <c r="H642" s="2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2"/>
      <c r="G643" s="2"/>
      <c r="H643" s="2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2"/>
      <c r="G644" s="2"/>
      <c r="H644" s="2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2"/>
      <c r="G645" s="2"/>
      <c r="H645" s="2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2"/>
      <c r="G646" s="2"/>
      <c r="H646" s="2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2"/>
      <c r="G647" s="2"/>
      <c r="H647" s="2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2"/>
      <c r="G648" s="2"/>
      <c r="H648" s="2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2"/>
      <c r="G649" s="2"/>
      <c r="H649" s="2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2"/>
      <c r="G650" s="2"/>
      <c r="H650" s="2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2"/>
      <c r="G651" s="2"/>
      <c r="H651" s="2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2"/>
      <c r="G652" s="2"/>
      <c r="H652" s="2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2"/>
      <c r="G653" s="2"/>
      <c r="H653" s="2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2"/>
      <c r="G654" s="2"/>
      <c r="H654" s="2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2"/>
      <c r="G655" s="2"/>
      <c r="H655" s="2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2"/>
      <c r="G656" s="2"/>
      <c r="H656" s="2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2"/>
      <c r="G657" s="2"/>
      <c r="H657" s="2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2"/>
      <c r="G658" s="2"/>
      <c r="H658" s="2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2"/>
      <c r="G659" s="2"/>
      <c r="H659" s="2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2"/>
      <c r="G660" s="2"/>
      <c r="H660" s="2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2"/>
      <c r="G661" s="2"/>
      <c r="H661" s="2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2"/>
      <c r="G662" s="2"/>
      <c r="H662" s="2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2"/>
      <c r="G663" s="2"/>
      <c r="H663" s="2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2"/>
      <c r="G664" s="2"/>
      <c r="H664" s="2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2"/>
      <c r="G665" s="2"/>
      <c r="H665" s="2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2"/>
      <c r="G666" s="2"/>
      <c r="H666" s="2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2"/>
      <c r="G667" s="2"/>
      <c r="H667" s="2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2"/>
      <c r="G668" s="2"/>
      <c r="H668" s="2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2"/>
      <c r="G669" s="2"/>
      <c r="H669" s="2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2"/>
      <c r="G670" s="2"/>
      <c r="H670" s="2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2"/>
      <c r="G671" s="2"/>
      <c r="H671" s="2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2"/>
      <c r="G672" s="2"/>
      <c r="H672" s="2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2"/>
      <c r="G673" s="2"/>
      <c r="H673" s="2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2"/>
      <c r="G674" s="2"/>
      <c r="H674" s="2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2"/>
      <c r="G675" s="2"/>
      <c r="H675" s="2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2"/>
      <c r="G676" s="2"/>
      <c r="H676" s="2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2"/>
      <c r="G677" s="2"/>
      <c r="H677" s="2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2"/>
      <c r="G678" s="2"/>
      <c r="H678" s="2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2"/>
      <c r="G679" s="2"/>
      <c r="H679" s="2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2"/>
      <c r="G680" s="2"/>
      <c r="H680" s="2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2"/>
      <c r="G681" s="2"/>
      <c r="H681" s="2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2"/>
      <c r="G682" s="2"/>
      <c r="H682" s="2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2"/>
      <c r="G683" s="2"/>
      <c r="H683" s="2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2"/>
      <c r="G684" s="2"/>
      <c r="H684" s="2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2"/>
      <c r="G685" s="2"/>
      <c r="H685" s="2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2"/>
      <c r="G686" s="2"/>
      <c r="H686" s="2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2"/>
      <c r="G687" s="2"/>
      <c r="H687" s="2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2"/>
      <c r="G688" s="2"/>
      <c r="H688" s="2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2"/>
      <c r="G689" s="2"/>
      <c r="H689" s="2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2"/>
      <c r="G690" s="2"/>
      <c r="H690" s="2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2"/>
      <c r="G691" s="2"/>
      <c r="H691" s="2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2"/>
      <c r="G692" s="2"/>
      <c r="H692" s="2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2"/>
      <c r="G693" s="2"/>
      <c r="H693" s="2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2"/>
      <c r="G694" s="2"/>
      <c r="H694" s="2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2"/>
      <c r="G695" s="2"/>
      <c r="H695" s="2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2"/>
      <c r="G696" s="2"/>
      <c r="H696" s="2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2"/>
      <c r="G697" s="2"/>
      <c r="H697" s="2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2"/>
      <c r="G698" s="2"/>
      <c r="H698" s="2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2"/>
      <c r="G699" s="2"/>
      <c r="H699" s="2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2"/>
      <c r="G700" s="2"/>
      <c r="H700" s="2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2"/>
      <c r="G701" s="2"/>
      <c r="H701" s="2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2"/>
      <c r="G702" s="2"/>
      <c r="H702" s="2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2"/>
      <c r="G703" s="2"/>
      <c r="H703" s="2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2"/>
      <c r="G704" s="2"/>
      <c r="H704" s="2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2"/>
      <c r="G705" s="2"/>
      <c r="H705" s="2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2"/>
      <c r="G706" s="2"/>
      <c r="H706" s="2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2"/>
      <c r="G707" s="2"/>
      <c r="H707" s="2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2"/>
      <c r="G708" s="2"/>
      <c r="H708" s="2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2"/>
      <c r="G709" s="2"/>
      <c r="H709" s="2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2"/>
      <c r="G710" s="2"/>
      <c r="H710" s="2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2"/>
      <c r="G711" s="2"/>
      <c r="H711" s="2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2"/>
      <c r="G712" s="2"/>
      <c r="H712" s="2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2"/>
      <c r="G713" s="2"/>
      <c r="H713" s="2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2"/>
      <c r="G714" s="2"/>
      <c r="H714" s="2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2"/>
      <c r="G715" s="2"/>
      <c r="H715" s="2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2"/>
      <c r="G716" s="2"/>
      <c r="H716" s="2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2"/>
      <c r="G717" s="2"/>
      <c r="H717" s="2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2"/>
      <c r="G718" s="2"/>
      <c r="H718" s="2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2"/>
      <c r="G719" s="2"/>
      <c r="H719" s="2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2"/>
      <c r="G720" s="2"/>
      <c r="H720" s="2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2"/>
      <c r="G721" s="2"/>
      <c r="H721" s="2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2"/>
      <c r="G722" s="2"/>
      <c r="H722" s="2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2"/>
      <c r="G723" s="2"/>
      <c r="H723" s="2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2"/>
      <c r="G724" s="2"/>
      <c r="H724" s="2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2"/>
      <c r="G725" s="2"/>
      <c r="H725" s="2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2"/>
      <c r="G726" s="2"/>
      <c r="H726" s="2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2"/>
      <c r="G727" s="2"/>
      <c r="H727" s="2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2"/>
      <c r="G728" s="2"/>
      <c r="H728" s="2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2"/>
      <c r="G729" s="2"/>
      <c r="H729" s="2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2"/>
      <c r="G730" s="2"/>
      <c r="H730" s="2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2"/>
      <c r="G731" s="2"/>
      <c r="H731" s="2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2"/>
      <c r="G732" s="2"/>
      <c r="H732" s="2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2"/>
      <c r="G733" s="2"/>
      <c r="H733" s="2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2"/>
      <c r="G734" s="2"/>
      <c r="H734" s="2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2"/>
      <c r="G735" s="2"/>
      <c r="H735" s="2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2"/>
      <c r="G736" s="2"/>
      <c r="H736" s="2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2"/>
      <c r="G737" s="2"/>
      <c r="H737" s="2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2"/>
      <c r="G738" s="2"/>
      <c r="H738" s="2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2"/>
      <c r="G739" s="2"/>
      <c r="H739" s="2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2"/>
      <c r="G740" s="2"/>
      <c r="H740" s="2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2"/>
      <c r="G741" s="2"/>
      <c r="H741" s="2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2"/>
      <c r="G742" s="2"/>
      <c r="H742" s="2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2"/>
      <c r="G743" s="2"/>
      <c r="H743" s="2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2"/>
      <c r="G744" s="2"/>
      <c r="H744" s="2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2"/>
      <c r="G745" s="2"/>
      <c r="H745" s="2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2"/>
      <c r="G746" s="2"/>
      <c r="H746" s="2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2"/>
      <c r="G747" s="2"/>
      <c r="H747" s="2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2"/>
      <c r="G748" s="2"/>
      <c r="H748" s="2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2"/>
      <c r="G749" s="2"/>
      <c r="H749" s="2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2"/>
      <c r="G750" s="2"/>
      <c r="H750" s="2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2"/>
      <c r="G751" s="2"/>
      <c r="H751" s="2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2"/>
      <c r="G752" s="2"/>
      <c r="H752" s="2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2"/>
      <c r="G753" s="2"/>
      <c r="H753" s="2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2"/>
      <c r="G754" s="2"/>
      <c r="H754" s="2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2"/>
      <c r="G755" s="2"/>
      <c r="H755" s="2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2"/>
      <c r="G756" s="2"/>
      <c r="H756" s="2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2"/>
      <c r="G757" s="2"/>
      <c r="H757" s="2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2"/>
      <c r="G758" s="2"/>
      <c r="H758" s="2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2"/>
      <c r="G759" s="2"/>
      <c r="H759" s="2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2"/>
      <c r="G760" s="2"/>
      <c r="H760" s="2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2"/>
      <c r="G761" s="2"/>
      <c r="H761" s="2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2"/>
      <c r="G762" s="2"/>
      <c r="H762" s="2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2"/>
      <c r="G763" s="2"/>
      <c r="H763" s="2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2"/>
      <c r="G764" s="2"/>
      <c r="H764" s="2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2"/>
      <c r="G765" s="2"/>
      <c r="H765" s="2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2"/>
      <c r="G766" s="2"/>
      <c r="H766" s="2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2"/>
      <c r="G767" s="2"/>
      <c r="H767" s="2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2"/>
      <c r="G768" s="2"/>
      <c r="H768" s="2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2"/>
      <c r="G769" s="2"/>
      <c r="H769" s="2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2"/>
      <c r="G770" s="2"/>
      <c r="H770" s="2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2"/>
      <c r="G771" s="2"/>
      <c r="H771" s="2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2"/>
      <c r="G772" s="2"/>
      <c r="H772" s="2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2"/>
      <c r="G773" s="2"/>
      <c r="H773" s="2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2"/>
      <c r="G774" s="2"/>
      <c r="H774" s="2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2"/>
      <c r="G775" s="2"/>
      <c r="H775" s="2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2"/>
      <c r="G776" s="2"/>
      <c r="H776" s="2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2"/>
      <c r="G777" s="2"/>
      <c r="H777" s="2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2"/>
      <c r="G778" s="2"/>
      <c r="H778" s="2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2"/>
      <c r="G779" s="2"/>
      <c r="H779" s="2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2"/>
      <c r="G780" s="2"/>
      <c r="H780" s="2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2"/>
      <c r="G781" s="2"/>
      <c r="H781" s="2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2"/>
      <c r="G782" s="2"/>
      <c r="H782" s="2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2"/>
      <c r="G783" s="2"/>
      <c r="H783" s="2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2"/>
      <c r="G784" s="2"/>
      <c r="H784" s="2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2"/>
      <c r="G785" s="2"/>
      <c r="H785" s="2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2"/>
      <c r="G786" s="2"/>
      <c r="H786" s="2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2"/>
      <c r="G787" s="2"/>
      <c r="H787" s="2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2"/>
      <c r="G788" s="2"/>
      <c r="H788" s="2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2"/>
      <c r="G789" s="2"/>
      <c r="H789" s="2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2"/>
      <c r="G790" s="2"/>
      <c r="H790" s="2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2"/>
      <c r="G791" s="2"/>
      <c r="H791" s="2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2"/>
      <c r="G792" s="2"/>
      <c r="H792" s="2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2"/>
      <c r="G793" s="2"/>
      <c r="H793" s="2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2"/>
      <c r="G794" s="2"/>
      <c r="H794" s="2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2"/>
      <c r="G795" s="2"/>
      <c r="H795" s="2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2"/>
      <c r="G796" s="2"/>
      <c r="H796" s="2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2"/>
      <c r="G797" s="2"/>
      <c r="H797" s="2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2"/>
      <c r="G798" s="2"/>
      <c r="H798" s="2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2"/>
      <c r="G799" s="2"/>
      <c r="H799" s="2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2"/>
      <c r="G800" s="2"/>
      <c r="H800" s="2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2"/>
      <c r="G801" s="2"/>
      <c r="H801" s="2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2"/>
      <c r="G802" s="2"/>
      <c r="H802" s="2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2"/>
      <c r="G803" s="2"/>
      <c r="H803" s="2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2"/>
      <c r="G804" s="2"/>
      <c r="H804" s="2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2"/>
      <c r="G805" s="2"/>
      <c r="H805" s="2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2"/>
      <c r="G806" s="2"/>
      <c r="H806" s="2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2"/>
      <c r="G807" s="2"/>
      <c r="H807" s="2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2"/>
      <c r="G808" s="2"/>
      <c r="H808" s="2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2"/>
      <c r="G809" s="2"/>
      <c r="H809" s="2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2"/>
      <c r="G810" s="2"/>
      <c r="H810" s="2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2"/>
      <c r="G811" s="2"/>
      <c r="H811" s="2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2"/>
      <c r="G812" s="2"/>
      <c r="H812" s="2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2"/>
      <c r="G813" s="2"/>
      <c r="H813" s="2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2"/>
      <c r="G814" s="2"/>
      <c r="H814" s="2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2"/>
      <c r="G815" s="2"/>
      <c r="H815" s="2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2"/>
      <c r="G816" s="2"/>
      <c r="H816" s="2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2"/>
      <c r="G817" s="2"/>
      <c r="H817" s="2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2"/>
      <c r="G818" s="2"/>
      <c r="H818" s="2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2"/>
      <c r="G819" s="2"/>
      <c r="H819" s="2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2"/>
      <c r="G820" s="2"/>
      <c r="H820" s="2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2"/>
      <c r="G821" s="2"/>
      <c r="H821" s="2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2"/>
      <c r="G822" s="2"/>
      <c r="H822" s="2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2"/>
      <c r="G823" s="2"/>
      <c r="H823" s="2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2"/>
      <c r="G824" s="2"/>
      <c r="H824" s="2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2"/>
      <c r="G825" s="2"/>
      <c r="H825" s="2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2"/>
      <c r="G826" s="2"/>
      <c r="H826" s="2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2"/>
      <c r="G827" s="2"/>
      <c r="H827" s="2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2"/>
      <c r="G828" s="2"/>
      <c r="H828" s="2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2"/>
      <c r="G829" s="2"/>
      <c r="H829" s="2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2"/>
      <c r="G830" s="2"/>
      <c r="H830" s="2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2"/>
      <c r="G831" s="2"/>
      <c r="H831" s="2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2"/>
      <c r="G832" s="2"/>
      <c r="H832" s="2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2"/>
      <c r="G833" s="2"/>
      <c r="H833" s="2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2"/>
      <c r="G834" s="2"/>
      <c r="H834" s="2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2"/>
      <c r="G835" s="2"/>
      <c r="H835" s="2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2"/>
      <c r="G836" s="2"/>
      <c r="H836" s="2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2"/>
      <c r="G837" s="2"/>
      <c r="H837" s="2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2"/>
      <c r="G838" s="2"/>
      <c r="H838" s="2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2"/>
      <c r="G839" s="2"/>
      <c r="H839" s="2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2"/>
      <c r="G840" s="2"/>
      <c r="H840" s="2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2"/>
      <c r="G841" s="2"/>
      <c r="H841" s="2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2"/>
      <c r="G842" s="2"/>
      <c r="H842" s="2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2"/>
      <c r="G843" s="2"/>
      <c r="H843" s="2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2"/>
      <c r="G844" s="2"/>
      <c r="H844" s="2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2"/>
      <c r="G845" s="2"/>
      <c r="H845" s="2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2"/>
      <c r="G846" s="2"/>
      <c r="H846" s="2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2"/>
      <c r="G847" s="2"/>
      <c r="H847" s="2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2"/>
      <c r="G848" s="2"/>
      <c r="H848" s="2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2"/>
      <c r="G849" s="2"/>
      <c r="H849" s="2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2"/>
      <c r="G850" s="2"/>
      <c r="H850" s="2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2"/>
      <c r="G851" s="2"/>
      <c r="H851" s="2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2"/>
      <c r="G852" s="2"/>
      <c r="H852" s="2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2"/>
      <c r="G853" s="2"/>
      <c r="H853" s="2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2"/>
      <c r="G854" s="2"/>
      <c r="H854" s="2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2"/>
      <c r="G855" s="2"/>
      <c r="H855" s="2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2"/>
      <c r="G856" s="2"/>
      <c r="H856" s="2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2"/>
      <c r="G857" s="2"/>
      <c r="H857" s="2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2"/>
      <c r="G858" s="2"/>
      <c r="H858" s="2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2"/>
      <c r="G859" s="2"/>
      <c r="H859" s="2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2"/>
      <c r="G860" s="2"/>
      <c r="H860" s="2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2"/>
      <c r="G861" s="2"/>
      <c r="H861" s="2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2"/>
      <c r="G862" s="2"/>
      <c r="H862" s="2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2"/>
      <c r="G863" s="2"/>
      <c r="H863" s="2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2"/>
      <c r="G864" s="2"/>
      <c r="H864" s="2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2"/>
      <c r="G865" s="2"/>
      <c r="H865" s="2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2"/>
      <c r="G866" s="2"/>
      <c r="H866" s="2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2"/>
      <c r="G867" s="2"/>
      <c r="H867" s="2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2"/>
      <c r="G868" s="2"/>
      <c r="H868" s="2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2"/>
      <c r="G869" s="2"/>
      <c r="H869" s="2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2"/>
      <c r="G870" s="2"/>
      <c r="H870" s="2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2"/>
      <c r="G871" s="2"/>
      <c r="H871" s="2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2"/>
      <c r="G872" s="2"/>
      <c r="H872" s="2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2"/>
      <c r="G873" s="2"/>
      <c r="H873" s="2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2"/>
      <c r="G874" s="2"/>
      <c r="H874" s="2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2"/>
      <c r="G875" s="2"/>
      <c r="H875" s="2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2"/>
      <c r="G876" s="2"/>
      <c r="H876" s="2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2"/>
      <c r="G877" s="2"/>
      <c r="H877" s="2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2"/>
      <c r="G878" s="2"/>
      <c r="H878" s="2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2"/>
      <c r="G879" s="2"/>
      <c r="H879" s="2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2"/>
      <c r="G880" s="2"/>
      <c r="H880" s="2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2"/>
      <c r="G881" s="2"/>
      <c r="H881" s="2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2"/>
      <c r="G882" s="2"/>
      <c r="H882" s="2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2"/>
      <c r="G883" s="2"/>
      <c r="H883" s="2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2"/>
      <c r="G884" s="2"/>
      <c r="H884" s="2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2"/>
      <c r="G885" s="2"/>
      <c r="H885" s="2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2"/>
      <c r="G886" s="2"/>
      <c r="H886" s="2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2"/>
      <c r="G887" s="2"/>
      <c r="H887" s="2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2"/>
      <c r="G888" s="2"/>
      <c r="H888" s="2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2"/>
      <c r="G889" s="2"/>
      <c r="H889" s="2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2"/>
      <c r="G890" s="2"/>
      <c r="H890" s="2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2"/>
      <c r="G891" s="2"/>
      <c r="H891" s="2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2"/>
      <c r="G892" s="2"/>
      <c r="H892" s="2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2"/>
      <c r="G893" s="2"/>
      <c r="H893" s="2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2"/>
      <c r="G894" s="2"/>
      <c r="H894" s="2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2"/>
      <c r="G895" s="2"/>
      <c r="H895" s="2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2"/>
      <c r="G896" s="2"/>
      <c r="H896" s="2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2"/>
      <c r="G897" s="2"/>
      <c r="H897" s="2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2"/>
      <c r="G898" s="2"/>
      <c r="H898" s="2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2"/>
      <c r="G899" s="2"/>
      <c r="H899" s="2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2"/>
      <c r="G900" s="2"/>
      <c r="H900" s="2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2"/>
      <c r="G901" s="2"/>
      <c r="H901" s="2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2"/>
      <c r="G902" s="2"/>
      <c r="H902" s="2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2"/>
      <c r="G903" s="2"/>
      <c r="H903" s="2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2"/>
      <c r="G904" s="2"/>
      <c r="H904" s="2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2"/>
      <c r="G905" s="2"/>
      <c r="H905" s="2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2"/>
      <c r="G906" s="2"/>
      <c r="H906" s="2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2"/>
      <c r="G907" s="2"/>
      <c r="H907" s="2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2"/>
      <c r="G908" s="2"/>
      <c r="H908" s="2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2"/>
      <c r="G909" s="2"/>
      <c r="H909" s="2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2"/>
      <c r="G910" s="2"/>
      <c r="H910" s="2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2"/>
      <c r="G911" s="2"/>
      <c r="H911" s="2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2"/>
      <c r="G912" s="2"/>
      <c r="H912" s="2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2"/>
      <c r="G913" s="2"/>
      <c r="H913" s="2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2"/>
      <c r="G914" s="2"/>
      <c r="H914" s="2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2"/>
      <c r="G915" s="2"/>
      <c r="H915" s="2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2"/>
      <c r="G916" s="2"/>
      <c r="H916" s="2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2"/>
      <c r="G917" s="2"/>
      <c r="H917" s="2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2"/>
      <c r="G918" s="2"/>
      <c r="H918" s="2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2"/>
      <c r="G919" s="2"/>
      <c r="H919" s="2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2"/>
      <c r="G920" s="2"/>
      <c r="H920" s="2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2"/>
      <c r="G921" s="2"/>
      <c r="H921" s="2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2"/>
      <c r="G922" s="2"/>
      <c r="H922" s="2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2"/>
      <c r="G923" s="2"/>
      <c r="H923" s="2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2"/>
      <c r="G924" s="2"/>
      <c r="H924" s="2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2"/>
      <c r="G925" s="2"/>
      <c r="H925" s="2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2"/>
      <c r="G926" s="2"/>
      <c r="H926" s="2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2"/>
      <c r="G927" s="2"/>
      <c r="H927" s="2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2"/>
      <c r="G928" s="2"/>
      <c r="H928" s="2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2"/>
      <c r="G929" s="2"/>
      <c r="H929" s="2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2"/>
      <c r="G930" s="2"/>
      <c r="H930" s="2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2"/>
      <c r="G931" s="2"/>
      <c r="H931" s="2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2"/>
      <c r="G932" s="2"/>
      <c r="H932" s="2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2"/>
      <c r="G933" s="2"/>
      <c r="H933" s="2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2"/>
      <c r="G934" s="2"/>
      <c r="H934" s="2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2"/>
      <c r="G935" s="2"/>
      <c r="H935" s="2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2"/>
      <c r="G936" s="2"/>
      <c r="H936" s="2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2"/>
      <c r="G937" s="2"/>
      <c r="H937" s="2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2"/>
      <c r="G938" s="2"/>
      <c r="H938" s="2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2"/>
      <c r="G939" s="2"/>
      <c r="H939" s="2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2"/>
      <c r="G940" s="2"/>
      <c r="H940" s="2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2"/>
      <c r="G941" s="2"/>
      <c r="H941" s="2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2"/>
      <c r="G942" s="2"/>
      <c r="H942" s="2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2"/>
      <c r="G943" s="2"/>
      <c r="H943" s="2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2"/>
      <c r="G944" s="2"/>
      <c r="H944" s="2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2"/>
      <c r="G945" s="2"/>
      <c r="H945" s="2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2"/>
      <c r="G946" s="2"/>
      <c r="H946" s="2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2"/>
      <c r="G947" s="2"/>
      <c r="H947" s="2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2"/>
      <c r="G948" s="2"/>
      <c r="H948" s="2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2"/>
      <c r="G949" s="2"/>
      <c r="H949" s="2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2"/>
      <c r="G950" s="2"/>
      <c r="H950" s="2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2"/>
      <c r="G951" s="2"/>
      <c r="H951" s="2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2"/>
      <c r="G952" s="2"/>
      <c r="H952" s="2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2"/>
      <c r="G953" s="2"/>
      <c r="H953" s="2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2"/>
      <c r="G954" s="2"/>
      <c r="H954" s="2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2"/>
      <c r="G955" s="2"/>
      <c r="H955" s="2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2"/>
      <c r="G956" s="2"/>
      <c r="H956" s="2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2"/>
      <c r="G957" s="2"/>
      <c r="H957" s="2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2"/>
      <c r="G958" s="2"/>
      <c r="H958" s="2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2"/>
      <c r="G959" s="2"/>
      <c r="H959" s="2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2"/>
      <c r="G960" s="2"/>
      <c r="H960" s="2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2"/>
      <c r="G961" s="2"/>
      <c r="H961" s="2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2"/>
      <c r="G962" s="2"/>
      <c r="H962" s="2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2"/>
      <c r="G963" s="2"/>
      <c r="H963" s="2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2"/>
      <c r="G964" s="2"/>
      <c r="H964" s="2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2"/>
      <c r="G965" s="2"/>
      <c r="H965" s="2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2"/>
      <c r="G966" s="2"/>
      <c r="H966" s="2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2"/>
      <c r="G967" s="2"/>
      <c r="H967" s="2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2"/>
      <c r="G968" s="2"/>
      <c r="H968" s="2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2"/>
      <c r="G969" s="2"/>
      <c r="H969" s="2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2"/>
      <c r="G970" s="2"/>
      <c r="H970" s="2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2"/>
      <c r="G971" s="2"/>
      <c r="H971" s="2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2"/>
      <c r="G972" s="2"/>
      <c r="H972" s="2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2"/>
      <c r="G973" s="2"/>
      <c r="H973" s="2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2"/>
      <c r="G974" s="2"/>
      <c r="H974" s="2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2"/>
      <c r="G975" s="2"/>
      <c r="H975" s="2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2"/>
      <c r="G976" s="2"/>
      <c r="H976" s="2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2"/>
      <c r="G977" s="2"/>
      <c r="H977" s="2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2"/>
      <c r="G978" s="2"/>
      <c r="H978" s="2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2"/>
      <c r="G979" s="2"/>
      <c r="H979" s="2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2"/>
      <c r="G980" s="2"/>
      <c r="H980" s="2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2"/>
      <c r="G981" s="2"/>
      <c r="H981" s="2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2"/>
      <c r="G982" s="2"/>
      <c r="H982" s="2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2"/>
      <c r="G983" s="2"/>
      <c r="H983" s="2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2"/>
      <c r="G984" s="2"/>
      <c r="H984" s="2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2"/>
      <c r="G985" s="2"/>
      <c r="H985" s="2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2"/>
      <c r="G986" s="2"/>
      <c r="H986" s="2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2"/>
      <c r="G987" s="2"/>
      <c r="H987" s="2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2"/>
      <c r="G988" s="2"/>
      <c r="H988" s="2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2"/>
      <c r="G989" s="2"/>
      <c r="H989" s="2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2"/>
      <c r="G990" s="2"/>
      <c r="H990" s="2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2"/>
      <c r="G991" s="2"/>
      <c r="H991" s="2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2"/>
      <c r="G992" s="2"/>
      <c r="H992" s="2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2"/>
      <c r="G993" s="2"/>
      <c r="H993" s="2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2"/>
      <c r="G994" s="2"/>
      <c r="H994" s="2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2"/>
      <c r="G995" s="2"/>
      <c r="H995" s="2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2"/>
      <c r="G996" s="2"/>
      <c r="H996" s="2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2"/>
      <c r="G997" s="2"/>
      <c r="H997" s="2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2"/>
      <c r="G998" s="2"/>
      <c r="H998" s="2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2"/>
      <c r="G999" s="2"/>
      <c r="H999" s="2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2"/>
      <c r="G1000" s="2"/>
      <c r="H1000" s="2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9">
    <mergeCell ref="K10:N10"/>
    <mergeCell ref="K11:N11"/>
    <mergeCell ref="L5:N5"/>
    <mergeCell ref="F8:I8"/>
    <mergeCell ref="K8:N8"/>
    <mergeCell ref="F9:I9"/>
    <mergeCell ref="K9:N9"/>
    <mergeCell ref="F10:I10"/>
    <mergeCell ref="F11:I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47" t="s">
        <v>22</v>
      </c>
      <c r="B2" s="47" t="s">
        <v>23</v>
      </c>
      <c r="C2" s="47" t="s">
        <v>24</v>
      </c>
      <c r="D2" s="47" t="s">
        <v>59</v>
      </c>
      <c r="E2" s="47" t="s">
        <v>60</v>
      </c>
      <c r="F2" s="47" t="s">
        <v>61</v>
      </c>
      <c r="G2" s="47" t="s">
        <v>62</v>
      </c>
      <c r="H2" s="47" t="s">
        <v>63</v>
      </c>
      <c r="I2" s="47" t="s">
        <v>64</v>
      </c>
      <c r="J2" s="47" t="s">
        <v>65</v>
      </c>
      <c r="K2" s="47" t="s">
        <v>66</v>
      </c>
      <c r="L2" s="47" t="s">
        <v>67</v>
      </c>
      <c r="M2" s="47" t="s">
        <v>68</v>
      </c>
      <c r="N2" s="48" t="s">
        <v>69</v>
      </c>
      <c r="O2" s="49"/>
      <c r="P2" s="50"/>
      <c r="Q2" s="47" t="s">
        <v>70</v>
      </c>
      <c r="R2" s="47" t="s">
        <v>71</v>
      </c>
      <c r="S2" s="47" t="s">
        <v>72</v>
      </c>
      <c r="T2" s="47" t="s">
        <v>73</v>
      </c>
      <c r="U2" s="47" t="s">
        <v>29</v>
      </c>
      <c r="V2" s="47" t="s">
        <v>74</v>
      </c>
      <c r="W2" s="47" t="s">
        <v>31</v>
      </c>
      <c r="X2" s="47" t="s">
        <v>75</v>
      </c>
      <c r="Y2" s="47" t="s">
        <v>76</v>
      </c>
      <c r="Z2" s="47" t="s">
        <v>37</v>
      </c>
      <c r="AA2" s="47" t="s">
        <v>77</v>
      </c>
    </row>
    <row r="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26" t="s">
        <v>78</v>
      </c>
      <c r="O3" s="26" t="s">
        <v>79</v>
      </c>
      <c r="P3" s="26" t="s">
        <v>80</v>
      </c>
      <c r="Q3" s="51"/>
      <c r="R3" s="51"/>
      <c r="S3" s="51"/>
      <c r="T3" s="51"/>
      <c r="U3" s="51"/>
      <c r="V3" s="51"/>
      <c r="W3" s="51"/>
      <c r="X3" s="51"/>
      <c r="Y3" s="51"/>
      <c r="Z3" s="51"/>
      <c r="AA3" s="52"/>
    </row>
    <row r="4">
      <c r="A4" s="27">
        <v>2026.0</v>
      </c>
      <c r="B4" s="27" t="s">
        <v>81</v>
      </c>
      <c r="C4" s="27">
        <v>1.0</v>
      </c>
      <c r="D4" s="53" t="s">
        <v>82</v>
      </c>
      <c r="E4" s="30" t="s">
        <v>83</v>
      </c>
      <c r="F4" s="30" t="s">
        <v>84</v>
      </c>
      <c r="G4" s="30" t="s">
        <v>85</v>
      </c>
      <c r="H4" s="27" t="s">
        <v>86</v>
      </c>
      <c r="I4" s="30" t="s">
        <v>87</v>
      </c>
      <c r="J4" s="54" t="s">
        <v>88</v>
      </c>
      <c r="K4" s="29" t="s">
        <v>89</v>
      </c>
      <c r="L4" s="29">
        <v>3.0</v>
      </c>
      <c r="M4" s="30" t="s">
        <v>90</v>
      </c>
      <c r="N4" s="55">
        <v>45444.0</v>
      </c>
      <c r="O4" s="55">
        <v>45717.0</v>
      </c>
      <c r="P4" s="55">
        <v>45748.0</v>
      </c>
      <c r="Q4" s="27">
        <v>9728326.0</v>
      </c>
      <c r="R4" s="29" t="s">
        <v>91</v>
      </c>
      <c r="S4" s="31" t="s">
        <v>92</v>
      </c>
      <c r="T4" s="31" t="s">
        <v>93</v>
      </c>
      <c r="U4" s="31" t="s">
        <v>43</v>
      </c>
      <c r="V4" s="30" t="s">
        <v>94</v>
      </c>
      <c r="W4" s="30" t="s">
        <v>45</v>
      </c>
      <c r="X4" s="33">
        <f t="shared" ref="X4:X15" si="1">IF(OR(K4="", L4=""), "", IF(K4="A1", 15, IF(K4="A2", 12, IF(K4="B", 8, IF(K4="C", 3, 0)))) / IF(L4&lt;=3, 1, IF(L4&lt;=5, 2, L4/2)))</f>
        <v>3</v>
      </c>
      <c r="Y4" s="56" t="s">
        <v>95</v>
      </c>
      <c r="Z4" s="30" t="s">
        <v>49</v>
      </c>
      <c r="AA4" s="34"/>
    </row>
    <row r="5">
      <c r="A5" s="27">
        <v>2026.0</v>
      </c>
      <c r="B5" s="27" t="s">
        <v>81</v>
      </c>
      <c r="C5" s="27">
        <v>1.0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57"/>
      <c r="O5" s="57"/>
      <c r="P5" s="57"/>
      <c r="Q5" s="34"/>
      <c r="R5" s="30" t="s">
        <v>96</v>
      </c>
      <c r="S5" s="58"/>
      <c r="T5" s="58"/>
      <c r="U5" s="58"/>
      <c r="V5" s="34"/>
      <c r="W5" s="34"/>
      <c r="X5" s="58" t="str">
        <f t="shared" si="1"/>
        <v/>
      </c>
      <c r="Y5" s="56" t="s">
        <v>95</v>
      </c>
      <c r="Z5" s="57"/>
      <c r="AA5" s="34"/>
    </row>
    <row r="6">
      <c r="A6" s="27">
        <v>2026.0</v>
      </c>
      <c r="B6" s="27" t="s">
        <v>81</v>
      </c>
      <c r="C6" s="27">
        <v>1.0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57"/>
      <c r="O6" s="57"/>
      <c r="P6" s="57"/>
      <c r="Q6" s="34"/>
      <c r="R6" s="30" t="s">
        <v>97</v>
      </c>
      <c r="S6" s="58"/>
      <c r="T6" s="58"/>
      <c r="U6" s="58"/>
      <c r="V6" s="34"/>
      <c r="W6" s="34"/>
      <c r="X6" s="58" t="str">
        <f t="shared" si="1"/>
        <v/>
      </c>
      <c r="Y6" s="56" t="s">
        <v>95</v>
      </c>
      <c r="Z6" s="57"/>
      <c r="AA6" s="34"/>
    </row>
    <row r="7">
      <c r="A7" s="27">
        <v>2026.0</v>
      </c>
      <c r="B7" s="27" t="s">
        <v>81</v>
      </c>
      <c r="C7" s="27">
        <v>2.0</v>
      </c>
      <c r="D7" s="53" t="s">
        <v>98</v>
      </c>
      <c r="E7" s="30" t="s">
        <v>83</v>
      </c>
      <c r="F7" s="30" t="s">
        <v>84</v>
      </c>
      <c r="G7" s="30" t="s">
        <v>85</v>
      </c>
      <c r="H7" s="27" t="s">
        <v>99</v>
      </c>
      <c r="I7" s="30" t="s">
        <v>100</v>
      </c>
      <c r="J7" s="54" t="s">
        <v>101</v>
      </c>
      <c r="K7" s="29" t="s">
        <v>89</v>
      </c>
      <c r="L7" s="29">
        <v>3.0</v>
      </c>
      <c r="M7" s="30" t="s">
        <v>102</v>
      </c>
      <c r="N7" s="55">
        <v>45581.0</v>
      </c>
      <c r="O7" s="55">
        <v>45715.0</v>
      </c>
      <c r="P7" s="55">
        <v>45944.0</v>
      </c>
      <c r="Q7" s="27">
        <v>9728326.0</v>
      </c>
      <c r="R7" s="29" t="s">
        <v>91</v>
      </c>
      <c r="S7" s="31" t="s">
        <v>92</v>
      </c>
      <c r="T7" s="31" t="s">
        <v>93</v>
      </c>
      <c r="U7" s="31" t="s">
        <v>43</v>
      </c>
      <c r="V7" s="30" t="s">
        <v>94</v>
      </c>
      <c r="W7" s="30" t="s">
        <v>45</v>
      </c>
      <c r="X7" s="33">
        <f t="shared" si="1"/>
        <v>3</v>
      </c>
      <c r="Y7" s="56" t="s">
        <v>95</v>
      </c>
      <c r="Z7" s="30" t="s">
        <v>49</v>
      </c>
      <c r="AA7" s="34"/>
    </row>
    <row r="8">
      <c r="A8" s="27">
        <v>2026.0</v>
      </c>
      <c r="B8" s="27" t="s">
        <v>81</v>
      </c>
      <c r="C8" s="27">
        <v>2.0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57"/>
      <c r="O8" s="57"/>
      <c r="P8" s="57"/>
      <c r="Q8" s="34"/>
      <c r="R8" s="30" t="s">
        <v>103</v>
      </c>
      <c r="S8" s="58"/>
      <c r="T8" s="58"/>
      <c r="U8" s="58"/>
      <c r="V8" s="34"/>
      <c r="W8" s="34"/>
      <c r="X8" s="58" t="str">
        <f t="shared" si="1"/>
        <v/>
      </c>
      <c r="Y8" s="56" t="s">
        <v>95</v>
      </c>
      <c r="Z8" s="57"/>
      <c r="AA8" s="34"/>
    </row>
    <row r="9">
      <c r="A9" s="27">
        <v>2026.0</v>
      </c>
      <c r="B9" s="27" t="s">
        <v>81</v>
      </c>
      <c r="C9" s="27">
        <v>2.0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57"/>
      <c r="O9" s="57"/>
      <c r="P9" s="57"/>
      <c r="Q9" s="34"/>
      <c r="R9" s="30" t="s">
        <v>104</v>
      </c>
      <c r="S9" s="58"/>
      <c r="T9" s="58"/>
      <c r="U9" s="58"/>
      <c r="V9" s="34"/>
      <c r="W9" s="34"/>
      <c r="X9" s="58" t="str">
        <f t="shared" si="1"/>
        <v/>
      </c>
      <c r="Y9" s="56" t="s">
        <v>95</v>
      </c>
      <c r="Z9" s="57"/>
      <c r="AA9" s="34"/>
    </row>
    <row r="10">
      <c r="A10" s="27">
        <v>2026.0</v>
      </c>
      <c r="B10" s="27" t="s">
        <v>81</v>
      </c>
      <c r="C10" s="27">
        <v>3.0</v>
      </c>
      <c r="D10" s="53" t="s">
        <v>105</v>
      </c>
      <c r="E10" s="30" t="s">
        <v>83</v>
      </c>
      <c r="F10" s="30" t="s">
        <v>84</v>
      </c>
      <c r="G10" s="30" t="s">
        <v>85</v>
      </c>
      <c r="H10" s="27" t="s">
        <v>106</v>
      </c>
      <c r="I10" s="30" t="s">
        <v>107</v>
      </c>
      <c r="J10" s="54" t="s">
        <v>108</v>
      </c>
      <c r="K10" s="29" t="s">
        <v>89</v>
      </c>
      <c r="L10" s="29">
        <v>3.0</v>
      </c>
      <c r="M10" s="30" t="s">
        <v>109</v>
      </c>
      <c r="N10" s="55">
        <v>45761.0</v>
      </c>
      <c r="O10" s="55">
        <v>45875.0</v>
      </c>
      <c r="P10" s="55">
        <v>46009.0</v>
      </c>
      <c r="Q10" s="30">
        <v>8.9000647E7</v>
      </c>
      <c r="R10" s="29" t="s">
        <v>110</v>
      </c>
      <c r="S10" s="31" t="s">
        <v>92</v>
      </c>
      <c r="T10" s="31" t="s">
        <v>93</v>
      </c>
      <c r="U10" s="31" t="s">
        <v>43</v>
      </c>
      <c r="V10" s="30" t="s">
        <v>111</v>
      </c>
      <c r="W10" s="30" t="s">
        <v>45</v>
      </c>
      <c r="X10" s="33">
        <f t="shared" si="1"/>
        <v>3</v>
      </c>
      <c r="Y10" s="56" t="s">
        <v>95</v>
      </c>
      <c r="Z10" s="30" t="s">
        <v>49</v>
      </c>
      <c r="AA10" s="34"/>
    </row>
    <row r="11">
      <c r="A11" s="27">
        <v>2026.0</v>
      </c>
      <c r="B11" s="27" t="s">
        <v>81</v>
      </c>
      <c r="C11" s="27">
        <v>3.0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7"/>
      <c r="O11" s="57"/>
      <c r="P11" s="57"/>
      <c r="Q11" s="34"/>
      <c r="R11" s="30" t="s">
        <v>112</v>
      </c>
      <c r="S11" s="58"/>
      <c r="T11" s="58"/>
      <c r="U11" s="58"/>
      <c r="V11" s="34"/>
      <c r="W11" s="34"/>
      <c r="X11" s="58" t="str">
        <f t="shared" si="1"/>
        <v/>
      </c>
      <c r="Y11" s="56" t="s">
        <v>95</v>
      </c>
      <c r="Z11" s="57"/>
      <c r="AA11" s="34"/>
    </row>
    <row r="12">
      <c r="A12" s="27">
        <v>2026.0</v>
      </c>
      <c r="B12" s="27" t="s">
        <v>81</v>
      </c>
      <c r="C12" s="27">
        <v>3.0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57"/>
      <c r="O12" s="57"/>
      <c r="P12" s="57"/>
      <c r="Q12" s="34"/>
      <c r="R12" s="30" t="s">
        <v>113</v>
      </c>
      <c r="S12" s="58"/>
      <c r="T12" s="58"/>
      <c r="U12" s="58"/>
      <c r="V12" s="34"/>
      <c r="W12" s="34"/>
      <c r="X12" s="58" t="str">
        <f t="shared" si="1"/>
        <v/>
      </c>
      <c r="Y12" s="56" t="s">
        <v>95</v>
      </c>
      <c r="Z12" s="57"/>
      <c r="AA12" s="34"/>
    </row>
    <row r="13">
      <c r="A13" s="59">
        <v>2026.0</v>
      </c>
      <c r="B13" s="59" t="s">
        <v>81</v>
      </c>
      <c r="C13" s="59">
        <v>4.0</v>
      </c>
      <c r="D13" s="60" t="s">
        <v>114</v>
      </c>
      <c r="E13" s="61" t="s">
        <v>83</v>
      </c>
      <c r="F13" s="61" t="s">
        <v>115</v>
      </c>
      <c r="G13" s="61" t="s">
        <v>116</v>
      </c>
      <c r="H13" s="59" t="s">
        <v>117</v>
      </c>
      <c r="I13" s="61" t="s">
        <v>118</v>
      </c>
      <c r="J13" s="62" t="s">
        <v>119</v>
      </c>
      <c r="K13" s="63" t="s">
        <v>120</v>
      </c>
      <c r="L13" s="63">
        <v>3.0</v>
      </c>
      <c r="M13" s="61" t="s">
        <v>121</v>
      </c>
      <c r="N13" s="64">
        <v>45989.0</v>
      </c>
      <c r="O13" s="64">
        <v>46027.0</v>
      </c>
      <c r="P13" s="64">
        <v>46052.0</v>
      </c>
      <c r="Q13" s="61" t="s">
        <v>122</v>
      </c>
      <c r="R13" s="63" t="s">
        <v>123</v>
      </c>
      <c r="S13" s="61" t="s">
        <v>92</v>
      </c>
      <c r="T13" s="61" t="s">
        <v>42</v>
      </c>
      <c r="U13" s="61" t="s">
        <v>43</v>
      </c>
      <c r="V13" s="61" t="s">
        <v>124</v>
      </c>
      <c r="W13" s="65" t="s">
        <v>125</v>
      </c>
      <c r="X13" s="66">
        <f t="shared" si="1"/>
        <v>0</v>
      </c>
      <c r="Y13" s="67" t="s">
        <v>95</v>
      </c>
      <c r="Z13" s="61" t="s">
        <v>49</v>
      </c>
      <c r="AA13" s="61" t="s">
        <v>126</v>
      </c>
    </row>
    <row r="14">
      <c r="A14" s="59">
        <v>2026.0</v>
      </c>
      <c r="B14" s="59" t="s">
        <v>81</v>
      </c>
      <c r="C14" s="59">
        <v>4.0</v>
      </c>
      <c r="D14" s="60" t="s">
        <v>114</v>
      </c>
      <c r="E14" s="61" t="s">
        <v>83</v>
      </c>
      <c r="F14" s="61" t="s">
        <v>115</v>
      </c>
      <c r="G14" s="61" t="s">
        <v>116</v>
      </c>
      <c r="H14" s="59" t="s">
        <v>117</v>
      </c>
      <c r="I14" s="61" t="s">
        <v>118</v>
      </c>
      <c r="J14" s="62" t="s">
        <v>119</v>
      </c>
      <c r="K14" s="63" t="s">
        <v>120</v>
      </c>
      <c r="L14" s="63">
        <v>3.0</v>
      </c>
      <c r="M14" s="61" t="s">
        <v>121</v>
      </c>
      <c r="N14" s="64">
        <v>45989.0</v>
      </c>
      <c r="O14" s="64">
        <v>46027.0</v>
      </c>
      <c r="P14" s="64">
        <v>46052.0</v>
      </c>
      <c r="Q14" s="61" t="s">
        <v>127</v>
      </c>
      <c r="R14" s="63" t="s">
        <v>128</v>
      </c>
      <c r="S14" s="61" t="s">
        <v>129</v>
      </c>
      <c r="T14" s="61" t="s">
        <v>130</v>
      </c>
      <c r="U14" s="61" t="s">
        <v>43</v>
      </c>
      <c r="V14" s="61" t="s">
        <v>131</v>
      </c>
      <c r="W14" s="65" t="s">
        <v>132</v>
      </c>
      <c r="X14" s="66">
        <f t="shared" si="1"/>
        <v>0</v>
      </c>
      <c r="Y14" s="67" t="s">
        <v>95</v>
      </c>
      <c r="Z14" s="61" t="s">
        <v>49</v>
      </c>
      <c r="AA14" s="61" t="s">
        <v>126</v>
      </c>
    </row>
    <row r="15">
      <c r="A15" s="59">
        <v>2026.0</v>
      </c>
      <c r="B15" s="59" t="s">
        <v>81</v>
      </c>
      <c r="C15" s="59">
        <v>4.0</v>
      </c>
      <c r="D15" s="60" t="s">
        <v>114</v>
      </c>
      <c r="E15" s="61" t="s">
        <v>83</v>
      </c>
      <c r="F15" s="61" t="s">
        <v>115</v>
      </c>
      <c r="G15" s="61" t="s">
        <v>116</v>
      </c>
      <c r="H15" s="59" t="s">
        <v>117</v>
      </c>
      <c r="I15" s="61" t="s">
        <v>118</v>
      </c>
      <c r="J15" s="62" t="s">
        <v>119</v>
      </c>
      <c r="K15" s="63" t="s">
        <v>120</v>
      </c>
      <c r="L15" s="63">
        <v>3.0</v>
      </c>
      <c r="M15" s="61" t="s">
        <v>121</v>
      </c>
      <c r="N15" s="64">
        <v>45989.0</v>
      </c>
      <c r="O15" s="64">
        <v>46027.0</v>
      </c>
      <c r="P15" s="64">
        <v>46052.0</v>
      </c>
      <c r="Q15" s="59">
        <v>1.470276E7</v>
      </c>
      <c r="R15" s="63" t="s">
        <v>133</v>
      </c>
      <c r="S15" s="61" t="s">
        <v>92</v>
      </c>
      <c r="T15" s="61" t="s">
        <v>42</v>
      </c>
      <c r="U15" s="61" t="s">
        <v>43</v>
      </c>
      <c r="V15" s="61" t="s">
        <v>124</v>
      </c>
      <c r="W15" s="65" t="s">
        <v>125</v>
      </c>
      <c r="X15" s="66">
        <f t="shared" si="1"/>
        <v>0</v>
      </c>
      <c r="Y15" s="67" t="s">
        <v>95</v>
      </c>
      <c r="Z15" s="61" t="s">
        <v>49</v>
      </c>
      <c r="AA15" s="61" t="s">
        <v>126</v>
      </c>
    </row>
    <row r="16">
      <c r="A16" s="27">
        <v>2026.0</v>
      </c>
      <c r="B16" s="27" t="s">
        <v>81</v>
      </c>
      <c r="C16" s="27">
        <v>5.0</v>
      </c>
      <c r="D16" s="53" t="s">
        <v>134</v>
      </c>
      <c r="E16" s="30" t="s">
        <v>135</v>
      </c>
      <c r="F16" s="30" t="s">
        <v>84</v>
      </c>
      <c r="G16" s="30" t="s">
        <v>85</v>
      </c>
      <c r="H16" s="27" t="s">
        <v>136</v>
      </c>
      <c r="I16" s="30" t="s">
        <v>137</v>
      </c>
      <c r="J16" s="54" t="s">
        <v>138</v>
      </c>
      <c r="K16" s="29" t="s">
        <v>139</v>
      </c>
      <c r="L16" s="29">
        <v>1.0</v>
      </c>
      <c r="M16" s="30" t="s">
        <v>140</v>
      </c>
      <c r="N16" s="55" t="s">
        <v>141</v>
      </c>
      <c r="O16" s="55" t="s">
        <v>141</v>
      </c>
      <c r="P16" s="55">
        <v>45901.0</v>
      </c>
      <c r="Q16" s="27">
        <v>2.4341881E7</v>
      </c>
      <c r="R16" s="29" t="s">
        <v>142</v>
      </c>
      <c r="S16" s="30" t="s">
        <v>92</v>
      </c>
      <c r="T16" s="30" t="s">
        <v>42</v>
      </c>
      <c r="U16" s="30" t="s">
        <v>43</v>
      </c>
      <c r="V16" s="30" t="s">
        <v>143</v>
      </c>
      <c r="W16" s="31" t="s">
        <v>125</v>
      </c>
      <c r="X16" s="33">
        <f>IF(OR(K16="", L16=""), "", IF(K16="A1", 15, IF(K16="A2", 12, IF(K16="B", 8, IF(K16="C", 3, 0)))) / IF(L16&lt;=3, 1, IF(L16&lt;=5, 2, L16/2)))*30%</f>
        <v>2.4</v>
      </c>
      <c r="Y16" s="56" t="s">
        <v>95</v>
      </c>
      <c r="Z16" s="30" t="s">
        <v>49</v>
      </c>
      <c r="AA16" s="30" t="s">
        <v>144</v>
      </c>
    </row>
  </sheetData>
  <mergeCells count="1">
    <mergeCell ref="N2:P2"/>
  </mergeCells>
  <hyperlinks>
    <hyperlink r:id="rId2" location="/revistasPublindex/detalle?tipo=R&amp;idRevista=349" ref="J4"/>
    <hyperlink r:id="rId3" location="/revistasPublindex/detalle?tipo=R&amp;idRevista=108" ref="J7"/>
    <hyperlink r:id="rId4" location="/revistasPublindex/detalle?tipo=R&amp;idRevista=1044" ref="J10"/>
    <hyperlink r:id="rId5" location="/revistasHomologadas/detalle/53148" ref="J13"/>
    <hyperlink r:id="rId6" location="/revistasHomologadas/detalle/53148" ref="J14"/>
    <hyperlink r:id="rId7" location="/revistasHomologadas/detalle/53148" ref="J15"/>
    <hyperlink r:id="rId8" location="/revistasPublindex/detalle?tipo=R&amp;idRevista=433" ref="J16"/>
  </hyperlinks>
  <drawing r:id="rId9"/>
  <legacy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22</v>
      </c>
      <c r="B1" s="26" t="s">
        <v>23</v>
      </c>
      <c r="C1" s="25" t="s">
        <v>24</v>
      </c>
      <c r="D1" s="26" t="s">
        <v>145</v>
      </c>
      <c r="E1" s="26" t="s">
        <v>146</v>
      </c>
      <c r="F1" s="26" t="s">
        <v>147</v>
      </c>
      <c r="G1" s="26" t="s">
        <v>68</v>
      </c>
      <c r="H1" s="26" t="s">
        <v>148</v>
      </c>
      <c r="I1" s="26" t="s">
        <v>149</v>
      </c>
      <c r="J1" s="26" t="s">
        <v>72</v>
      </c>
      <c r="K1" s="26" t="s">
        <v>28</v>
      </c>
      <c r="L1" s="26" t="s">
        <v>29</v>
      </c>
      <c r="M1" s="26" t="s">
        <v>30</v>
      </c>
      <c r="N1" s="26" t="s">
        <v>31</v>
      </c>
      <c r="O1" s="26" t="s">
        <v>150</v>
      </c>
      <c r="P1" s="26" t="s">
        <v>151</v>
      </c>
      <c r="Q1" s="26" t="s">
        <v>152</v>
      </c>
      <c r="R1" s="26" t="s">
        <v>67</v>
      </c>
      <c r="S1" s="26" t="s">
        <v>36</v>
      </c>
      <c r="T1" s="26" t="s">
        <v>37</v>
      </c>
      <c r="U1" s="47" t="s">
        <v>153</v>
      </c>
    </row>
    <row r="2">
      <c r="A2" s="30">
        <v>2026.0</v>
      </c>
      <c r="B2" s="30" t="s">
        <v>39</v>
      </c>
      <c r="C2" s="30">
        <v>1.0</v>
      </c>
      <c r="D2" s="30" t="s">
        <v>154</v>
      </c>
      <c r="E2" s="30" t="s">
        <v>155</v>
      </c>
      <c r="F2" s="55">
        <v>45960.0</v>
      </c>
      <c r="G2" s="55" t="s">
        <v>156</v>
      </c>
      <c r="H2" s="68">
        <v>2.4580502E7</v>
      </c>
      <c r="I2" s="29" t="s">
        <v>157</v>
      </c>
      <c r="J2" s="30" t="s">
        <v>92</v>
      </c>
      <c r="K2" s="30" t="s">
        <v>130</v>
      </c>
      <c r="L2" s="30" t="s">
        <v>43</v>
      </c>
      <c r="M2" s="30" t="s">
        <v>94</v>
      </c>
      <c r="N2" s="30" t="s">
        <v>45</v>
      </c>
      <c r="O2" s="30" t="s">
        <v>95</v>
      </c>
      <c r="P2" s="69">
        <f t="shared" ref="P2:P3" si="1">AVERAGE(4.8,4.5,4.4,4.5)</f>
        <v>4.55</v>
      </c>
      <c r="Q2" s="69">
        <f t="shared" ref="Q2:Q3" si="2">AVERAGE(4,3.6,4,3.8)</f>
        <v>3.85</v>
      </c>
      <c r="R2" s="30">
        <v>3.0</v>
      </c>
      <c r="S2" s="33">
        <f t="shared" ref="S2:S3" si="3">(AVERAGE(P2, Q2)*3) / IF(R2&lt;=3, 1, IF(R2&lt;=5, 2, R2/2))</f>
        <v>12.6</v>
      </c>
      <c r="T2" s="30" t="s">
        <v>49</v>
      </c>
      <c r="U2" s="34"/>
    </row>
    <row r="3">
      <c r="A3" s="30">
        <v>2026.0</v>
      </c>
      <c r="B3" s="30" t="s">
        <v>39</v>
      </c>
      <c r="C3" s="30">
        <v>1.0</v>
      </c>
      <c r="D3" s="30" t="s">
        <v>154</v>
      </c>
      <c r="E3" s="30" t="s">
        <v>155</v>
      </c>
      <c r="F3" s="55">
        <v>45960.0</v>
      </c>
      <c r="G3" s="55" t="s">
        <v>156</v>
      </c>
      <c r="H3" s="68">
        <v>4.1913005E7</v>
      </c>
      <c r="I3" s="29" t="s">
        <v>158</v>
      </c>
      <c r="J3" s="30" t="s">
        <v>92</v>
      </c>
      <c r="K3" s="30" t="s">
        <v>130</v>
      </c>
      <c r="L3" s="30" t="s">
        <v>43</v>
      </c>
      <c r="M3" s="30" t="s">
        <v>94</v>
      </c>
      <c r="N3" s="30" t="s">
        <v>45</v>
      </c>
      <c r="O3" s="30" t="s">
        <v>95</v>
      </c>
      <c r="P3" s="69">
        <f t="shared" si="1"/>
        <v>4.55</v>
      </c>
      <c r="Q3" s="69">
        <f t="shared" si="2"/>
        <v>3.85</v>
      </c>
      <c r="R3" s="30">
        <v>3.0</v>
      </c>
      <c r="S3" s="33">
        <f t="shared" si="3"/>
        <v>12.6</v>
      </c>
      <c r="T3" s="30" t="s">
        <v>49</v>
      </c>
      <c r="U3" s="34"/>
    </row>
    <row r="4">
      <c r="A4" s="30">
        <v>2026.0</v>
      </c>
      <c r="B4" s="30" t="s">
        <v>39</v>
      </c>
      <c r="C4" s="30">
        <v>1.0</v>
      </c>
      <c r="D4" s="34"/>
      <c r="E4" s="34"/>
      <c r="F4" s="57"/>
      <c r="G4" s="57"/>
      <c r="H4" s="70"/>
      <c r="I4" s="30" t="s">
        <v>159</v>
      </c>
      <c r="J4" s="34"/>
      <c r="K4" s="34"/>
      <c r="L4" s="34"/>
      <c r="M4" s="34"/>
      <c r="N4" s="34"/>
      <c r="O4" s="30" t="s">
        <v>95</v>
      </c>
      <c r="P4" s="34"/>
      <c r="Q4" s="34"/>
      <c r="R4" s="34"/>
      <c r="S4" s="58"/>
      <c r="T4" s="34"/>
      <c r="U4" s="34"/>
    </row>
    <row r="5">
      <c r="A5" s="30">
        <v>2026.0</v>
      </c>
      <c r="B5" s="30" t="s">
        <v>39</v>
      </c>
      <c r="C5" s="30">
        <v>2.0</v>
      </c>
      <c r="D5" s="30" t="s">
        <v>160</v>
      </c>
      <c r="E5" s="30" t="s">
        <v>161</v>
      </c>
      <c r="F5" s="55">
        <v>46002.0</v>
      </c>
      <c r="G5" s="55" t="s">
        <v>156</v>
      </c>
      <c r="H5" s="68">
        <v>2.4580502E7</v>
      </c>
      <c r="I5" s="29" t="s">
        <v>157</v>
      </c>
      <c r="J5" s="30" t="s">
        <v>92</v>
      </c>
      <c r="K5" s="30" t="s">
        <v>130</v>
      </c>
      <c r="L5" s="30" t="s">
        <v>43</v>
      </c>
      <c r="M5" s="30" t="s">
        <v>94</v>
      </c>
      <c r="N5" s="30" t="s">
        <v>45</v>
      </c>
      <c r="O5" s="30" t="s">
        <v>95</v>
      </c>
      <c r="P5" s="69">
        <f t="shared" ref="P5:P6" si="4">AVERAGE(4,4,4,3.9)</f>
        <v>3.975</v>
      </c>
      <c r="Q5" s="69">
        <f t="shared" ref="Q5:Q6" si="5">AVERAGE(4.5,4.5,4.2,4)</f>
        <v>4.3</v>
      </c>
      <c r="R5" s="30">
        <v>3.0</v>
      </c>
      <c r="S5" s="33">
        <f t="shared" ref="S5:S6" si="6">(AVERAGE(P5, Q5)*3) / IF(R5&lt;=3, 1, IF(R5&lt;=5, 2, R5/2))</f>
        <v>12.4125</v>
      </c>
      <c r="T5" s="30" t="s">
        <v>49</v>
      </c>
      <c r="U5" s="34"/>
    </row>
    <row r="6">
      <c r="A6" s="30">
        <v>2026.0</v>
      </c>
      <c r="B6" s="30" t="s">
        <v>39</v>
      </c>
      <c r="C6" s="30">
        <v>2.0</v>
      </c>
      <c r="D6" s="30" t="s">
        <v>160</v>
      </c>
      <c r="E6" s="30" t="s">
        <v>161</v>
      </c>
      <c r="F6" s="55">
        <v>46002.0</v>
      </c>
      <c r="G6" s="55" t="s">
        <v>156</v>
      </c>
      <c r="H6" s="68">
        <v>4.1913005E7</v>
      </c>
      <c r="I6" s="29" t="s">
        <v>158</v>
      </c>
      <c r="J6" s="30" t="s">
        <v>92</v>
      </c>
      <c r="K6" s="30" t="s">
        <v>130</v>
      </c>
      <c r="L6" s="30" t="s">
        <v>43</v>
      </c>
      <c r="M6" s="30" t="s">
        <v>94</v>
      </c>
      <c r="N6" s="30" t="s">
        <v>45</v>
      </c>
      <c r="O6" s="30" t="s">
        <v>95</v>
      </c>
      <c r="P6" s="69">
        <f t="shared" si="4"/>
        <v>3.975</v>
      </c>
      <c r="Q6" s="69">
        <f t="shared" si="5"/>
        <v>4.3</v>
      </c>
      <c r="R6" s="30">
        <v>3.0</v>
      </c>
      <c r="S6" s="33">
        <f t="shared" si="6"/>
        <v>12.4125</v>
      </c>
      <c r="T6" s="30" t="s">
        <v>49</v>
      </c>
      <c r="U6" s="34"/>
    </row>
    <row r="7">
      <c r="A7" s="30">
        <v>2026.0</v>
      </c>
      <c r="B7" s="30" t="s">
        <v>39</v>
      </c>
      <c r="C7" s="30">
        <v>2.0</v>
      </c>
      <c r="D7" s="34"/>
      <c r="E7" s="34"/>
      <c r="F7" s="57"/>
      <c r="G7" s="57"/>
      <c r="H7" s="70"/>
      <c r="I7" s="30" t="s">
        <v>162</v>
      </c>
      <c r="J7" s="34"/>
      <c r="K7" s="34"/>
      <c r="L7" s="34"/>
      <c r="M7" s="34"/>
      <c r="N7" s="34"/>
      <c r="O7" s="30" t="s">
        <v>95</v>
      </c>
      <c r="P7" s="34"/>
      <c r="Q7" s="34"/>
      <c r="R7" s="34"/>
      <c r="S7" s="58"/>
      <c r="T7" s="34"/>
      <c r="U7" s="34"/>
    </row>
    <row r="8">
      <c r="A8" s="30">
        <v>2026.0</v>
      </c>
      <c r="B8" s="30" t="s">
        <v>39</v>
      </c>
      <c r="C8" s="30">
        <v>3.0</v>
      </c>
      <c r="D8" s="30" t="s">
        <v>163</v>
      </c>
      <c r="E8" s="30" t="s">
        <v>164</v>
      </c>
      <c r="F8" s="55">
        <v>46002.0</v>
      </c>
      <c r="G8" s="55" t="s">
        <v>156</v>
      </c>
      <c r="H8" s="68">
        <v>2.4580502E7</v>
      </c>
      <c r="I8" s="29" t="s">
        <v>157</v>
      </c>
      <c r="J8" s="30" t="s">
        <v>92</v>
      </c>
      <c r="K8" s="30" t="s">
        <v>130</v>
      </c>
      <c r="L8" s="30" t="s">
        <v>43</v>
      </c>
      <c r="M8" s="30" t="s">
        <v>94</v>
      </c>
      <c r="N8" s="30" t="s">
        <v>45</v>
      </c>
      <c r="O8" s="30" t="s">
        <v>95</v>
      </c>
      <c r="P8" s="69">
        <f t="shared" ref="P8:P9" si="7">AVERAGE(4.5,4.1,3.7,2.6)</f>
        <v>3.725</v>
      </c>
      <c r="Q8" s="69">
        <f t="shared" ref="Q8:Q9" si="8">AVERAGE(3.9,5,4,4)</f>
        <v>4.225</v>
      </c>
      <c r="R8" s="30">
        <v>3.0</v>
      </c>
      <c r="S8" s="33">
        <v>10.0</v>
      </c>
      <c r="T8" s="30" t="s">
        <v>49</v>
      </c>
      <c r="U8" s="30" t="s">
        <v>165</v>
      </c>
    </row>
    <row r="9">
      <c r="A9" s="30">
        <v>2026.0</v>
      </c>
      <c r="B9" s="30" t="s">
        <v>39</v>
      </c>
      <c r="C9" s="30">
        <v>3.0</v>
      </c>
      <c r="D9" s="30" t="s">
        <v>163</v>
      </c>
      <c r="E9" s="30" t="s">
        <v>164</v>
      </c>
      <c r="F9" s="55">
        <v>46002.0</v>
      </c>
      <c r="G9" s="55" t="s">
        <v>156</v>
      </c>
      <c r="H9" s="68">
        <v>4.1913005E7</v>
      </c>
      <c r="I9" s="29" t="s">
        <v>158</v>
      </c>
      <c r="J9" s="30" t="s">
        <v>92</v>
      </c>
      <c r="K9" s="30" t="s">
        <v>130</v>
      </c>
      <c r="L9" s="30" t="s">
        <v>43</v>
      </c>
      <c r="M9" s="30" t="s">
        <v>94</v>
      </c>
      <c r="N9" s="30" t="s">
        <v>45</v>
      </c>
      <c r="O9" s="30" t="s">
        <v>95</v>
      </c>
      <c r="P9" s="69">
        <f t="shared" si="7"/>
        <v>3.725</v>
      </c>
      <c r="Q9" s="69">
        <f t="shared" si="8"/>
        <v>4.225</v>
      </c>
      <c r="R9" s="30">
        <v>3.0</v>
      </c>
      <c r="S9" s="33">
        <v>10.0</v>
      </c>
      <c r="T9" s="30" t="s">
        <v>49</v>
      </c>
      <c r="U9" s="30" t="s">
        <v>166</v>
      </c>
    </row>
    <row r="10">
      <c r="A10" s="30">
        <v>2026.0</v>
      </c>
      <c r="B10" s="30" t="s">
        <v>39</v>
      </c>
      <c r="C10" s="30">
        <v>3.0</v>
      </c>
      <c r="D10" s="34"/>
      <c r="E10" s="34"/>
      <c r="F10" s="57"/>
      <c r="G10" s="57"/>
      <c r="H10" s="70"/>
      <c r="I10" s="30" t="s">
        <v>167</v>
      </c>
      <c r="J10" s="34"/>
      <c r="K10" s="34"/>
      <c r="L10" s="34"/>
      <c r="M10" s="34"/>
      <c r="N10" s="34"/>
      <c r="O10" s="30" t="s">
        <v>95</v>
      </c>
      <c r="P10" s="34"/>
      <c r="Q10" s="34"/>
      <c r="R10" s="34"/>
      <c r="S10" s="58"/>
      <c r="T10" s="34"/>
      <c r="U10" s="34"/>
    </row>
    <row r="11">
      <c r="A11" s="30">
        <v>2026.0</v>
      </c>
      <c r="B11" s="30" t="s">
        <v>39</v>
      </c>
      <c r="C11" s="30">
        <v>4.0</v>
      </c>
      <c r="D11" s="30" t="s">
        <v>168</v>
      </c>
      <c r="E11" s="30" t="s">
        <v>169</v>
      </c>
      <c r="F11" s="55">
        <v>46002.0</v>
      </c>
      <c r="G11" s="55" t="s">
        <v>156</v>
      </c>
      <c r="H11" s="28">
        <v>4.1893527E7</v>
      </c>
      <c r="I11" s="29" t="s">
        <v>170</v>
      </c>
      <c r="J11" s="30" t="s">
        <v>129</v>
      </c>
      <c r="K11" s="30" t="s">
        <v>130</v>
      </c>
      <c r="L11" s="30" t="s">
        <v>43</v>
      </c>
      <c r="M11" s="30" t="s">
        <v>171</v>
      </c>
      <c r="N11" s="30" t="s">
        <v>125</v>
      </c>
      <c r="O11" s="30" t="s">
        <v>95</v>
      </c>
      <c r="P11" s="69">
        <f>AVERAGE(4,3.9,4.5,4.8)</f>
        <v>4.3</v>
      </c>
      <c r="Q11" s="69">
        <f>AVERAGE(4.4,3.8,4,4.3)</f>
        <v>4.125</v>
      </c>
      <c r="R11" s="30">
        <v>5.0</v>
      </c>
      <c r="S11" s="33">
        <f>(AVERAGE(P11, Q11)*3) / IF(R11&lt;=3, 1, IF(R11&lt;=5, 2, R11/2))</f>
        <v>6.31875</v>
      </c>
      <c r="T11" s="30" t="s">
        <v>49</v>
      </c>
      <c r="U11" s="34"/>
    </row>
    <row r="12">
      <c r="A12" s="30">
        <v>2026.0</v>
      </c>
      <c r="B12" s="30" t="s">
        <v>39</v>
      </c>
      <c r="C12" s="30">
        <v>4.0</v>
      </c>
      <c r="D12" s="34"/>
      <c r="E12" s="34"/>
      <c r="F12" s="57"/>
      <c r="G12" s="57"/>
      <c r="H12" s="70"/>
      <c r="I12" s="30" t="s">
        <v>172</v>
      </c>
      <c r="J12" s="34"/>
      <c r="K12" s="34"/>
      <c r="L12" s="34"/>
      <c r="M12" s="34"/>
      <c r="N12" s="34"/>
      <c r="O12" s="30" t="s">
        <v>173</v>
      </c>
      <c r="P12" s="34"/>
      <c r="Q12" s="34"/>
      <c r="R12" s="34"/>
      <c r="S12" s="58"/>
      <c r="T12" s="34"/>
      <c r="U12" s="34"/>
    </row>
    <row r="13">
      <c r="A13" s="30">
        <v>2026.0</v>
      </c>
      <c r="B13" s="30" t="s">
        <v>39</v>
      </c>
      <c r="C13" s="30">
        <v>4.0</v>
      </c>
      <c r="D13" s="34"/>
      <c r="E13" s="34"/>
      <c r="F13" s="57"/>
      <c r="G13" s="57"/>
      <c r="H13" s="70"/>
      <c r="I13" s="30" t="s">
        <v>174</v>
      </c>
      <c r="J13" s="34"/>
      <c r="K13" s="34"/>
      <c r="L13" s="34"/>
      <c r="M13" s="34"/>
      <c r="N13" s="34"/>
      <c r="O13" s="30" t="s">
        <v>175</v>
      </c>
      <c r="P13" s="34"/>
      <c r="Q13" s="34"/>
      <c r="R13" s="34"/>
      <c r="S13" s="58"/>
      <c r="T13" s="34"/>
      <c r="U13" s="34"/>
    </row>
    <row r="14">
      <c r="A14" s="30">
        <v>2026.0</v>
      </c>
      <c r="B14" s="30" t="s">
        <v>39</v>
      </c>
      <c r="C14" s="30">
        <v>4.0</v>
      </c>
      <c r="D14" s="34"/>
      <c r="E14" s="34"/>
      <c r="F14" s="57"/>
      <c r="G14" s="57"/>
      <c r="H14" s="70"/>
      <c r="I14" s="30" t="s">
        <v>176</v>
      </c>
      <c r="J14" s="34"/>
      <c r="K14" s="34"/>
      <c r="L14" s="34"/>
      <c r="M14" s="34"/>
      <c r="N14" s="34"/>
      <c r="O14" s="30" t="s">
        <v>175</v>
      </c>
      <c r="P14" s="34"/>
      <c r="Q14" s="34"/>
      <c r="R14" s="34"/>
      <c r="S14" s="58"/>
      <c r="T14" s="34"/>
      <c r="U14" s="34"/>
    </row>
    <row r="15">
      <c r="A15" s="30">
        <v>2026.0</v>
      </c>
      <c r="B15" s="30" t="s">
        <v>39</v>
      </c>
      <c r="C15" s="30">
        <v>4.0</v>
      </c>
      <c r="D15" s="34"/>
      <c r="E15" s="34"/>
      <c r="F15" s="57"/>
      <c r="G15" s="57"/>
      <c r="H15" s="70"/>
      <c r="I15" s="30" t="s">
        <v>177</v>
      </c>
      <c r="J15" s="34"/>
      <c r="K15" s="34"/>
      <c r="L15" s="34"/>
      <c r="M15" s="34"/>
      <c r="N15" s="34"/>
      <c r="O15" s="30" t="s">
        <v>140</v>
      </c>
      <c r="P15" s="34"/>
      <c r="Q15" s="34"/>
      <c r="R15" s="34"/>
      <c r="S15" s="58"/>
      <c r="T15" s="34"/>
      <c r="U15" s="34"/>
    </row>
    <row r="16">
      <c r="A16" s="30">
        <v>2026.0</v>
      </c>
      <c r="B16" s="30" t="s">
        <v>39</v>
      </c>
      <c r="C16" s="30">
        <v>5.0</v>
      </c>
      <c r="D16" s="30" t="s">
        <v>178</v>
      </c>
      <c r="E16" s="30" t="s">
        <v>179</v>
      </c>
      <c r="F16" s="55">
        <v>46007.0</v>
      </c>
      <c r="G16" s="55" t="s">
        <v>180</v>
      </c>
      <c r="H16" s="28">
        <v>7532303.0</v>
      </c>
      <c r="I16" s="29" t="s">
        <v>181</v>
      </c>
      <c r="J16" s="30" t="s">
        <v>92</v>
      </c>
      <c r="K16" s="30" t="s">
        <v>130</v>
      </c>
      <c r="L16" s="30" t="s">
        <v>43</v>
      </c>
      <c r="M16" s="30" t="s">
        <v>182</v>
      </c>
      <c r="N16" s="30" t="s">
        <v>183</v>
      </c>
      <c r="O16" s="30" t="s">
        <v>95</v>
      </c>
      <c r="P16" s="69">
        <f>AVERAGE(5,5,5,4)</f>
        <v>4.75</v>
      </c>
      <c r="Q16" s="69">
        <f>AVERAGE(3,3,4,1)</f>
        <v>2.75</v>
      </c>
      <c r="R16" s="30">
        <v>3.0</v>
      </c>
      <c r="S16" s="33">
        <f>(AVERAGE(P16, Q16)*3) / IF(R16&lt;=3, 1, IF(R16&lt;=5, 2, R16/2))</f>
        <v>11.25</v>
      </c>
      <c r="T16" s="30" t="s">
        <v>49</v>
      </c>
      <c r="U16" s="34"/>
    </row>
    <row r="17">
      <c r="A17" s="30">
        <v>2026.0</v>
      </c>
      <c r="B17" s="30" t="s">
        <v>39</v>
      </c>
      <c r="C17" s="30">
        <v>5.0</v>
      </c>
      <c r="D17" s="34"/>
      <c r="E17" s="34"/>
      <c r="F17" s="57"/>
      <c r="G17" s="57"/>
      <c r="H17" s="70"/>
      <c r="I17" s="30" t="s">
        <v>184</v>
      </c>
      <c r="J17" s="34"/>
      <c r="K17" s="34"/>
      <c r="L17" s="34"/>
      <c r="M17" s="34"/>
      <c r="N17" s="34"/>
      <c r="O17" s="30" t="s">
        <v>95</v>
      </c>
      <c r="P17" s="34"/>
      <c r="Q17" s="34"/>
      <c r="R17" s="34"/>
      <c r="S17" s="58"/>
      <c r="T17" s="34"/>
      <c r="U17" s="34"/>
    </row>
    <row r="18">
      <c r="A18" s="30">
        <v>2026.0</v>
      </c>
      <c r="B18" s="30" t="s">
        <v>39</v>
      </c>
      <c r="C18" s="30">
        <v>5.0</v>
      </c>
      <c r="D18" s="34"/>
      <c r="E18" s="34"/>
      <c r="F18" s="57"/>
      <c r="G18" s="57"/>
      <c r="H18" s="70"/>
      <c r="I18" s="30" t="s">
        <v>185</v>
      </c>
      <c r="J18" s="34"/>
      <c r="K18" s="34"/>
      <c r="L18" s="34"/>
      <c r="M18" s="34"/>
      <c r="N18" s="34"/>
      <c r="O18" s="30" t="s">
        <v>95</v>
      </c>
      <c r="P18" s="34"/>
      <c r="Q18" s="34"/>
      <c r="R18" s="34"/>
      <c r="S18" s="58"/>
      <c r="T18" s="34"/>
      <c r="U18" s="34"/>
    </row>
    <row r="19">
      <c r="A19" s="30">
        <v>2026.0</v>
      </c>
      <c r="B19" s="30" t="s">
        <v>39</v>
      </c>
      <c r="C19" s="30">
        <v>6.0</v>
      </c>
      <c r="D19" s="30" t="s">
        <v>186</v>
      </c>
      <c r="E19" s="30" t="s">
        <v>187</v>
      </c>
      <c r="F19" s="55">
        <v>45992.0</v>
      </c>
      <c r="G19" s="55" t="s">
        <v>180</v>
      </c>
      <c r="H19" s="28">
        <v>1.7655304E7</v>
      </c>
      <c r="I19" s="29" t="s">
        <v>188</v>
      </c>
      <c r="J19" s="30" t="s">
        <v>129</v>
      </c>
      <c r="K19" s="30" t="s">
        <v>130</v>
      </c>
      <c r="L19" s="30" t="s">
        <v>43</v>
      </c>
      <c r="M19" s="30" t="s">
        <v>189</v>
      </c>
      <c r="N19" s="30" t="s">
        <v>183</v>
      </c>
      <c r="O19" s="30" t="s">
        <v>95</v>
      </c>
      <c r="P19" s="69">
        <f>AVERAGE(4.5,4.5,4.6,4.1)</f>
        <v>4.425</v>
      </c>
      <c r="Q19" s="69">
        <f>AVERAGE(4.8,4.7,4.8,4.8)</f>
        <v>4.775</v>
      </c>
      <c r="R19" s="30">
        <v>3.0</v>
      </c>
      <c r="S19" s="33">
        <f>(AVERAGE(P19, Q19)*3) / IF(R19&lt;=3, 1, IF(R19&lt;=5, 2, R19/2))</f>
        <v>13.8</v>
      </c>
      <c r="T19" s="30" t="s">
        <v>49</v>
      </c>
      <c r="U19" s="34"/>
    </row>
    <row r="20">
      <c r="A20" s="30">
        <v>2026.0</v>
      </c>
      <c r="B20" s="30" t="s">
        <v>39</v>
      </c>
      <c r="C20" s="30">
        <v>6.0</v>
      </c>
      <c r="D20" s="34"/>
      <c r="E20" s="34"/>
      <c r="F20" s="57"/>
      <c r="G20" s="57"/>
      <c r="H20" s="70"/>
      <c r="I20" s="30" t="s">
        <v>184</v>
      </c>
      <c r="J20" s="34"/>
      <c r="K20" s="34"/>
      <c r="L20" s="34"/>
      <c r="M20" s="34"/>
      <c r="N20" s="34"/>
      <c r="O20" s="30" t="s">
        <v>95</v>
      </c>
      <c r="P20" s="34"/>
      <c r="Q20" s="34"/>
      <c r="R20" s="34"/>
      <c r="S20" s="58"/>
      <c r="T20" s="34"/>
      <c r="U20" s="34"/>
    </row>
    <row r="21">
      <c r="A21" s="30">
        <v>2026.0</v>
      </c>
      <c r="B21" s="30" t="s">
        <v>39</v>
      </c>
      <c r="C21" s="30">
        <v>6.0</v>
      </c>
      <c r="D21" s="34"/>
      <c r="E21" s="34"/>
      <c r="F21" s="57"/>
      <c r="G21" s="57"/>
      <c r="H21" s="70"/>
      <c r="I21" s="30" t="s">
        <v>190</v>
      </c>
      <c r="J21" s="34"/>
      <c r="K21" s="34"/>
      <c r="L21" s="34"/>
      <c r="M21" s="34"/>
      <c r="N21" s="34"/>
      <c r="O21" s="30" t="s">
        <v>95</v>
      </c>
      <c r="P21" s="34"/>
      <c r="Q21" s="34"/>
      <c r="R21" s="34"/>
      <c r="S21" s="58"/>
      <c r="T21" s="34"/>
      <c r="U21" s="34"/>
    </row>
    <row r="22">
      <c r="A22" s="30">
        <v>2026.0</v>
      </c>
      <c r="B22" s="30" t="s">
        <v>39</v>
      </c>
      <c r="C22" s="30">
        <v>7.0</v>
      </c>
      <c r="D22" s="30" t="s">
        <v>191</v>
      </c>
      <c r="E22" s="30" t="s">
        <v>192</v>
      </c>
      <c r="F22" s="55">
        <v>45992.0</v>
      </c>
      <c r="G22" s="55" t="s">
        <v>180</v>
      </c>
      <c r="H22" s="28">
        <v>1.7655304E7</v>
      </c>
      <c r="I22" s="29" t="s">
        <v>188</v>
      </c>
      <c r="J22" s="30" t="s">
        <v>129</v>
      </c>
      <c r="K22" s="30" t="s">
        <v>130</v>
      </c>
      <c r="L22" s="30" t="s">
        <v>43</v>
      </c>
      <c r="M22" s="30" t="s">
        <v>189</v>
      </c>
      <c r="N22" s="30" t="s">
        <v>183</v>
      </c>
      <c r="O22" s="30" t="s">
        <v>95</v>
      </c>
      <c r="P22" s="69">
        <f>AVERAGE(4.5,4.5,4.6,4.6)</f>
        <v>4.55</v>
      </c>
      <c r="Q22" s="69">
        <f>AVERAGE(4,4.5,4.5,4)</f>
        <v>4.25</v>
      </c>
      <c r="R22" s="30">
        <v>3.0</v>
      </c>
      <c r="S22" s="33">
        <f>(AVERAGE(P22, Q22)*3) / IF(R22&lt;=3, 1, IF(R22&lt;=5, 2, R22/2))</f>
        <v>13.2</v>
      </c>
      <c r="T22" s="30" t="s">
        <v>49</v>
      </c>
      <c r="U22" s="34"/>
    </row>
    <row r="23">
      <c r="A23" s="30">
        <v>2026.0</v>
      </c>
      <c r="B23" s="30" t="s">
        <v>39</v>
      </c>
      <c r="C23" s="30">
        <v>7.0</v>
      </c>
      <c r="D23" s="34"/>
      <c r="E23" s="34"/>
      <c r="F23" s="57"/>
      <c r="G23" s="57"/>
      <c r="H23" s="70"/>
      <c r="I23" s="30" t="s">
        <v>184</v>
      </c>
      <c r="J23" s="34"/>
      <c r="K23" s="34"/>
      <c r="L23" s="34"/>
      <c r="M23" s="34"/>
      <c r="N23" s="34"/>
      <c r="O23" s="30" t="s">
        <v>95</v>
      </c>
      <c r="P23" s="34"/>
      <c r="Q23" s="34"/>
      <c r="R23" s="34"/>
      <c r="S23" s="58"/>
      <c r="T23" s="34"/>
      <c r="U23" s="34"/>
    </row>
    <row r="24">
      <c r="A24" s="30">
        <v>2026.0</v>
      </c>
      <c r="B24" s="30" t="s">
        <v>39</v>
      </c>
      <c r="C24" s="30">
        <v>7.0</v>
      </c>
      <c r="D24" s="34"/>
      <c r="E24" s="34"/>
      <c r="F24" s="57"/>
      <c r="G24" s="57"/>
      <c r="H24" s="70"/>
      <c r="I24" s="30" t="s">
        <v>193</v>
      </c>
      <c r="J24" s="34"/>
      <c r="K24" s="34"/>
      <c r="L24" s="34"/>
      <c r="M24" s="34"/>
      <c r="N24" s="34"/>
      <c r="O24" s="30" t="s">
        <v>95</v>
      </c>
      <c r="P24" s="34"/>
      <c r="Q24" s="34"/>
      <c r="R24" s="34"/>
      <c r="S24" s="58"/>
      <c r="T24" s="34"/>
      <c r="U24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/>
      <c r="B1" s="18"/>
      <c r="C1" s="18"/>
      <c r="D1" s="18"/>
      <c r="V1" s="18"/>
      <c r="W1" s="18"/>
      <c r="X1" s="18"/>
      <c r="Y1" s="18"/>
      <c r="Z1" s="18"/>
    </row>
    <row r="2">
      <c r="A2" s="26" t="s">
        <v>22</v>
      </c>
      <c r="B2" s="26" t="s">
        <v>23</v>
      </c>
      <c r="C2" s="25" t="s">
        <v>24</v>
      </c>
      <c r="D2" s="26" t="s">
        <v>194</v>
      </c>
      <c r="E2" s="26" t="s">
        <v>146</v>
      </c>
      <c r="F2" s="26" t="s">
        <v>147</v>
      </c>
      <c r="G2" s="26" t="s">
        <v>68</v>
      </c>
      <c r="H2" s="26" t="s">
        <v>195</v>
      </c>
      <c r="I2" s="26" t="s">
        <v>148</v>
      </c>
      <c r="J2" s="26" t="s">
        <v>149</v>
      </c>
      <c r="K2" s="26" t="s">
        <v>72</v>
      </c>
      <c r="L2" s="26" t="s">
        <v>28</v>
      </c>
      <c r="M2" s="26" t="s">
        <v>29</v>
      </c>
      <c r="N2" s="26" t="s">
        <v>30</v>
      </c>
      <c r="O2" s="26" t="s">
        <v>31</v>
      </c>
      <c r="P2" s="26" t="s">
        <v>150</v>
      </c>
      <c r="Q2" s="26" t="s">
        <v>151</v>
      </c>
      <c r="R2" s="26" t="s">
        <v>152</v>
      </c>
      <c r="S2" s="26" t="s">
        <v>67</v>
      </c>
      <c r="T2" s="26" t="s">
        <v>36</v>
      </c>
      <c r="U2" s="26" t="s">
        <v>37</v>
      </c>
      <c r="V2" s="47" t="s">
        <v>153</v>
      </c>
      <c r="W2" s="18"/>
      <c r="X2" s="18"/>
      <c r="Y2" s="18"/>
      <c r="Z2" s="18"/>
    </row>
    <row r="3">
      <c r="A3" s="30">
        <v>2026.0</v>
      </c>
      <c r="B3" s="30" t="s">
        <v>39</v>
      </c>
      <c r="C3" s="30">
        <v>1.0</v>
      </c>
      <c r="D3" s="30" t="s">
        <v>196</v>
      </c>
      <c r="E3" s="30" t="s">
        <v>197</v>
      </c>
      <c r="F3" s="55">
        <v>46002.0</v>
      </c>
      <c r="G3" s="55" t="s">
        <v>156</v>
      </c>
      <c r="H3" s="30" t="s">
        <v>198</v>
      </c>
      <c r="I3" s="28">
        <v>1.102042502E9</v>
      </c>
      <c r="J3" s="29" t="s">
        <v>199</v>
      </c>
      <c r="K3" s="27" t="s">
        <v>129</v>
      </c>
      <c r="L3" s="27" t="s">
        <v>93</v>
      </c>
      <c r="M3" s="30" t="s">
        <v>43</v>
      </c>
      <c r="N3" s="71" t="s">
        <v>200</v>
      </c>
      <c r="O3" s="30" t="s">
        <v>183</v>
      </c>
      <c r="P3" s="30" t="s">
        <v>95</v>
      </c>
      <c r="Q3" s="69">
        <f t="shared" ref="Q3:Q4" si="1">AVERAGE(5,5,5,5)</f>
        <v>5</v>
      </c>
      <c r="R3" s="69">
        <f t="shared" ref="R3:R4" si="2">AVERAGE(4.3,4.2,4.7,4.4)</f>
        <v>4.4</v>
      </c>
      <c r="S3" s="30">
        <v>3.0</v>
      </c>
      <c r="T3" s="33">
        <f t="shared" ref="T3:T4" si="3">(AVERAGE(Q3, R3)*3) / IF(S3&lt;=3, 1, IF(S3&lt;=5, 2, S3/2))</f>
        <v>14.1</v>
      </c>
      <c r="U3" s="30" t="s">
        <v>49</v>
      </c>
      <c r="V3" s="34"/>
      <c r="W3" s="18"/>
      <c r="X3" s="18"/>
      <c r="Y3" s="18"/>
      <c r="Z3" s="18"/>
    </row>
    <row r="4">
      <c r="A4" s="30">
        <v>2026.0</v>
      </c>
      <c r="B4" s="30" t="s">
        <v>39</v>
      </c>
      <c r="C4" s="30">
        <v>1.0</v>
      </c>
      <c r="D4" s="30" t="s">
        <v>196</v>
      </c>
      <c r="E4" s="30" t="s">
        <v>197</v>
      </c>
      <c r="F4" s="55">
        <v>46002.0</v>
      </c>
      <c r="G4" s="55" t="s">
        <v>156</v>
      </c>
      <c r="H4" s="30" t="s">
        <v>201</v>
      </c>
      <c r="I4" s="28">
        <v>1.094880877E9</v>
      </c>
      <c r="J4" s="29" t="s">
        <v>202</v>
      </c>
      <c r="K4" s="27" t="s">
        <v>92</v>
      </c>
      <c r="L4" s="27" t="s">
        <v>93</v>
      </c>
      <c r="M4" s="30" t="s">
        <v>43</v>
      </c>
      <c r="N4" s="71" t="s">
        <v>200</v>
      </c>
      <c r="O4" s="30" t="s">
        <v>183</v>
      </c>
      <c r="P4" s="30" t="s">
        <v>95</v>
      </c>
      <c r="Q4" s="69">
        <f t="shared" si="1"/>
        <v>5</v>
      </c>
      <c r="R4" s="69">
        <f t="shared" si="2"/>
        <v>4.4</v>
      </c>
      <c r="S4" s="30">
        <v>3.0</v>
      </c>
      <c r="T4" s="33">
        <f t="shared" si="3"/>
        <v>14.1</v>
      </c>
      <c r="U4" s="30" t="s">
        <v>49</v>
      </c>
      <c r="V4" s="34"/>
      <c r="W4" s="18"/>
      <c r="X4" s="18"/>
      <c r="Y4" s="18"/>
      <c r="Z4" s="18"/>
    </row>
    <row r="5">
      <c r="A5" s="30">
        <v>2026.0</v>
      </c>
      <c r="B5" s="30" t="s">
        <v>39</v>
      </c>
      <c r="C5" s="30">
        <v>1.0</v>
      </c>
      <c r="D5" s="34"/>
      <c r="E5" s="34"/>
      <c r="F5" s="34"/>
      <c r="G5" s="34"/>
      <c r="H5" s="34"/>
      <c r="I5" s="70"/>
      <c r="J5" s="30" t="s">
        <v>203</v>
      </c>
      <c r="K5" s="34"/>
      <c r="L5" s="34"/>
      <c r="M5" s="34"/>
      <c r="N5" s="72"/>
      <c r="O5" s="72"/>
      <c r="P5" s="30" t="s">
        <v>95</v>
      </c>
      <c r="Q5" s="73"/>
      <c r="R5" s="73"/>
      <c r="S5" s="34"/>
      <c r="T5" s="58"/>
      <c r="U5" s="74"/>
      <c r="V5" s="34"/>
      <c r="W5" s="18"/>
      <c r="X5" s="18"/>
      <c r="Y5" s="18"/>
      <c r="Z5" s="18"/>
    </row>
    <row r="6">
      <c r="A6" s="30">
        <v>2026.0</v>
      </c>
      <c r="B6" s="30" t="s">
        <v>39</v>
      </c>
      <c r="C6" s="30">
        <v>2.0</v>
      </c>
      <c r="D6" s="30" t="s">
        <v>204</v>
      </c>
      <c r="E6" s="30" t="s">
        <v>205</v>
      </c>
      <c r="F6" s="55">
        <v>45735.0</v>
      </c>
      <c r="G6" s="55" t="s">
        <v>206</v>
      </c>
      <c r="H6" s="30" t="s">
        <v>207</v>
      </c>
      <c r="I6" s="28">
        <v>1.1380439E7</v>
      </c>
      <c r="J6" s="29" t="s">
        <v>208</v>
      </c>
      <c r="K6" s="27" t="s">
        <v>92</v>
      </c>
      <c r="L6" s="27" t="s">
        <v>209</v>
      </c>
      <c r="M6" s="30" t="s">
        <v>43</v>
      </c>
      <c r="N6" s="71" t="s">
        <v>124</v>
      </c>
      <c r="O6" s="30" t="s">
        <v>125</v>
      </c>
      <c r="P6" s="30" t="s">
        <v>95</v>
      </c>
      <c r="Q6" s="69">
        <f>AVERAGE(5,5,4.5,5)</f>
        <v>4.875</v>
      </c>
      <c r="R6" s="69">
        <f>AVERAGE(5,5,5,5)</f>
        <v>5</v>
      </c>
      <c r="S6" s="30">
        <v>1.0</v>
      </c>
      <c r="T6" s="33">
        <f t="shared" ref="T6:T8" si="4">(AVERAGE(Q6, R6)*3) / IF(S6&lt;=3, 1, IF(S6&lt;=5, 2, S6/2))</f>
        <v>14.8125</v>
      </c>
      <c r="U6" s="30" t="s">
        <v>49</v>
      </c>
      <c r="V6" s="34"/>
      <c r="W6" s="18"/>
      <c r="X6" s="18"/>
      <c r="Y6" s="18"/>
      <c r="Z6" s="18"/>
    </row>
    <row r="7">
      <c r="A7" s="30">
        <v>2026.0</v>
      </c>
      <c r="B7" s="30" t="s">
        <v>39</v>
      </c>
      <c r="C7" s="30">
        <v>3.0</v>
      </c>
      <c r="D7" s="30" t="s">
        <v>210</v>
      </c>
      <c r="E7" s="30" t="s">
        <v>211</v>
      </c>
      <c r="F7" s="55">
        <v>45992.0</v>
      </c>
      <c r="G7" s="55" t="s">
        <v>212</v>
      </c>
      <c r="H7" s="30" t="s">
        <v>213</v>
      </c>
      <c r="I7" s="28">
        <v>7540504.0</v>
      </c>
      <c r="J7" s="29" t="s">
        <v>214</v>
      </c>
      <c r="K7" s="27" t="s">
        <v>92</v>
      </c>
      <c r="L7" s="27" t="s">
        <v>130</v>
      </c>
      <c r="M7" s="30" t="s">
        <v>43</v>
      </c>
      <c r="N7" s="71" t="s">
        <v>215</v>
      </c>
      <c r="O7" s="30" t="s">
        <v>132</v>
      </c>
      <c r="P7" s="30" t="s">
        <v>95</v>
      </c>
      <c r="Q7" s="69">
        <f t="shared" ref="Q7:Q8" si="5">AVERAGE(4.8,4.7,4.9,4.8)</f>
        <v>4.8</v>
      </c>
      <c r="R7" s="69">
        <f t="shared" ref="R7:R8" si="6">AVERAGE(4.6,4.8,5,5)</f>
        <v>4.85</v>
      </c>
      <c r="S7" s="30">
        <v>3.0</v>
      </c>
      <c r="T7" s="33">
        <f t="shared" si="4"/>
        <v>14.475</v>
      </c>
      <c r="U7" s="30" t="s">
        <v>49</v>
      </c>
      <c r="V7" s="34"/>
      <c r="W7" s="18"/>
      <c r="X7" s="18"/>
      <c r="Y7" s="18"/>
      <c r="Z7" s="18"/>
    </row>
    <row r="8">
      <c r="A8" s="30">
        <v>2026.0</v>
      </c>
      <c r="B8" s="30" t="s">
        <v>39</v>
      </c>
      <c r="C8" s="30">
        <v>3.0</v>
      </c>
      <c r="D8" s="30" t="s">
        <v>210</v>
      </c>
      <c r="E8" s="30" t="s">
        <v>211</v>
      </c>
      <c r="F8" s="55">
        <v>45992.0</v>
      </c>
      <c r="G8" s="55" t="s">
        <v>212</v>
      </c>
      <c r="H8" s="30" t="s">
        <v>213</v>
      </c>
      <c r="I8" s="28">
        <v>8.9007517E7</v>
      </c>
      <c r="J8" s="29" t="s">
        <v>216</v>
      </c>
      <c r="K8" s="27" t="s">
        <v>129</v>
      </c>
      <c r="L8" s="27" t="s">
        <v>209</v>
      </c>
      <c r="M8" s="30" t="s">
        <v>43</v>
      </c>
      <c r="N8" s="71" t="s">
        <v>215</v>
      </c>
      <c r="O8" s="30" t="s">
        <v>132</v>
      </c>
      <c r="P8" s="30" t="s">
        <v>95</v>
      </c>
      <c r="Q8" s="69">
        <f t="shared" si="5"/>
        <v>4.8</v>
      </c>
      <c r="R8" s="69">
        <f t="shared" si="6"/>
        <v>4.85</v>
      </c>
      <c r="S8" s="30">
        <v>3.0</v>
      </c>
      <c r="T8" s="33">
        <f t="shared" si="4"/>
        <v>14.475</v>
      </c>
      <c r="U8" s="30" t="s">
        <v>49</v>
      </c>
      <c r="V8" s="34"/>
      <c r="W8" s="18"/>
      <c r="X8" s="18"/>
      <c r="Y8" s="18"/>
      <c r="Z8" s="18"/>
    </row>
    <row r="9">
      <c r="A9" s="30">
        <v>2026.0</v>
      </c>
      <c r="B9" s="30" t="s">
        <v>39</v>
      </c>
      <c r="C9" s="30">
        <v>3.0</v>
      </c>
      <c r="D9" s="34"/>
      <c r="E9" s="34"/>
      <c r="F9" s="34"/>
      <c r="G9" s="34"/>
      <c r="H9" s="34"/>
      <c r="I9" s="70"/>
      <c r="J9" s="30" t="s">
        <v>217</v>
      </c>
      <c r="K9" s="34"/>
      <c r="L9" s="34"/>
      <c r="M9" s="34"/>
      <c r="N9" s="72"/>
      <c r="O9" s="72"/>
      <c r="P9" s="30" t="s">
        <v>95</v>
      </c>
      <c r="Q9" s="73"/>
      <c r="R9" s="73"/>
      <c r="S9" s="34"/>
      <c r="T9" s="58"/>
      <c r="U9" s="74"/>
      <c r="V9" s="34"/>
      <c r="W9" s="18"/>
      <c r="X9" s="18"/>
      <c r="Y9" s="18"/>
      <c r="Z9" s="18"/>
    </row>
    <row r="10">
      <c r="A10" s="30">
        <v>2026.0</v>
      </c>
      <c r="B10" s="30" t="s">
        <v>39</v>
      </c>
      <c r="C10" s="30">
        <v>4.0</v>
      </c>
      <c r="D10" s="30" t="s">
        <v>218</v>
      </c>
      <c r="E10" s="30" t="s">
        <v>219</v>
      </c>
      <c r="F10" s="55">
        <v>46002.0</v>
      </c>
      <c r="G10" s="55" t="s">
        <v>156</v>
      </c>
      <c r="H10" s="30" t="s">
        <v>220</v>
      </c>
      <c r="I10" s="28">
        <v>1.102042502E9</v>
      </c>
      <c r="J10" s="29" t="s">
        <v>199</v>
      </c>
      <c r="K10" s="27" t="s">
        <v>129</v>
      </c>
      <c r="L10" s="27" t="s">
        <v>93</v>
      </c>
      <c r="M10" s="30" t="s">
        <v>43</v>
      </c>
      <c r="N10" s="71" t="s">
        <v>200</v>
      </c>
      <c r="O10" s="30" t="s">
        <v>183</v>
      </c>
      <c r="P10" s="30" t="s">
        <v>95</v>
      </c>
      <c r="Q10" s="69">
        <f t="shared" ref="Q10:Q12" si="7">AVERAGE(4.3,5,4.6,4.7)</f>
        <v>4.65</v>
      </c>
      <c r="R10" s="69">
        <f t="shared" ref="R10:R12" si="8">AVERAGE(4.8,4.7,5,4.8)</f>
        <v>4.825</v>
      </c>
      <c r="S10" s="30">
        <v>3.0</v>
      </c>
      <c r="T10" s="33">
        <f t="shared" ref="T10:T13" si="9">(AVERAGE(Q10, R10)*3) / IF(S10&lt;=3, 1, IF(S10&lt;=5, 2, S10/2))</f>
        <v>14.2125</v>
      </c>
      <c r="U10" s="30" t="s">
        <v>49</v>
      </c>
      <c r="V10" s="34"/>
      <c r="W10" s="18"/>
      <c r="X10" s="18"/>
      <c r="Y10" s="18"/>
      <c r="Z10" s="18"/>
    </row>
    <row r="11">
      <c r="A11" s="30">
        <v>2026.0</v>
      </c>
      <c r="B11" s="30" t="s">
        <v>39</v>
      </c>
      <c r="C11" s="30">
        <v>4.0</v>
      </c>
      <c r="D11" s="30" t="s">
        <v>218</v>
      </c>
      <c r="E11" s="30" t="s">
        <v>219</v>
      </c>
      <c r="F11" s="55">
        <v>46002.0</v>
      </c>
      <c r="G11" s="55" t="s">
        <v>156</v>
      </c>
      <c r="H11" s="30" t="s">
        <v>220</v>
      </c>
      <c r="I11" s="28">
        <v>4.1936764E7</v>
      </c>
      <c r="J11" s="29" t="s">
        <v>221</v>
      </c>
      <c r="K11" s="27" t="s">
        <v>129</v>
      </c>
      <c r="L11" s="27" t="s">
        <v>130</v>
      </c>
      <c r="M11" s="30" t="s">
        <v>43</v>
      </c>
      <c r="N11" s="71" t="s">
        <v>200</v>
      </c>
      <c r="O11" s="30" t="s">
        <v>183</v>
      </c>
      <c r="P11" s="30" t="s">
        <v>95</v>
      </c>
      <c r="Q11" s="69">
        <f t="shared" si="7"/>
        <v>4.65</v>
      </c>
      <c r="R11" s="69">
        <f t="shared" si="8"/>
        <v>4.825</v>
      </c>
      <c r="S11" s="30">
        <v>3.0</v>
      </c>
      <c r="T11" s="33">
        <f t="shared" si="9"/>
        <v>14.2125</v>
      </c>
      <c r="U11" s="30" t="s">
        <v>49</v>
      </c>
      <c r="V11" s="34"/>
      <c r="W11" s="18"/>
      <c r="X11" s="18"/>
      <c r="Y11" s="18"/>
      <c r="Z11" s="18"/>
    </row>
    <row r="12">
      <c r="A12" s="30">
        <v>2026.0</v>
      </c>
      <c r="B12" s="30" t="s">
        <v>39</v>
      </c>
      <c r="C12" s="30">
        <v>4.0</v>
      </c>
      <c r="D12" s="30" t="s">
        <v>218</v>
      </c>
      <c r="E12" s="30" t="s">
        <v>219</v>
      </c>
      <c r="F12" s="55">
        <v>46002.0</v>
      </c>
      <c r="G12" s="55" t="s">
        <v>156</v>
      </c>
      <c r="H12" s="30" t="s">
        <v>220</v>
      </c>
      <c r="I12" s="28">
        <v>1.094911213E9</v>
      </c>
      <c r="J12" s="29" t="s">
        <v>222</v>
      </c>
      <c r="K12" s="27" t="s">
        <v>92</v>
      </c>
      <c r="L12" s="27" t="s">
        <v>209</v>
      </c>
      <c r="M12" s="30" t="s">
        <v>43</v>
      </c>
      <c r="N12" s="71" t="s">
        <v>200</v>
      </c>
      <c r="O12" s="30" t="s">
        <v>183</v>
      </c>
      <c r="P12" s="30" t="s">
        <v>95</v>
      </c>
      <c r="Q12" s="69">
        <f t="shared" si="7"/>
        <v>4.65</v>
      </c>
      <c r="R12" s="69">
        <f t="shared" si="8"/>
        <v>4.825</v>
      </c>
      <c r="S12" s="30">
        <v>3.0</v>
      </c>
      <c r="T12" s="33">
        <f t="shared" si="9"/>
        <v>14.2125</v>
      </c>
      <c r="U12" s="30" t="s">
        <v>49</v>
      </c>
      <c r="V12" s="34"/>
      <c r="W12" s="18"/>
      <c r="X12" s="18"/>
      <c r="Y12" s="18"/>
      <c r="Z12" s="18"/>
    </row>
    <row r="13">
      <c r="A13" s="30">
        <v>2026.0</v>
      </c>
      <c r="B13" s="30" t="s">
        <v>39</v>
      </c>
      <c r="C13" s="30">
        <v>5.0</v>
      </c>
      <c r="D13" s="30" t="s">
        <v>223</v>
      </c>
      <c r="E13" s="30" t="s">
        <v>224</v>
      </c>
      <c r="F13" s="55">
        <v>45960.0</v>
      </c>
      <c r="G13" s="55" t="s">
        <v>156</v>
      </c>
      <c r="H13" s="30" t="s">
        <v>225</v>
      </c>
      <c r="I13" s="28">
        <v>4.1935858E7</v>
      </c>
      <c r="J13" s="29" t="s">
        <v>226</v>
      </c>
      <c r="K13" s="27" t="s">
        <v>92</v>
      </c>
      <c r="L13" s="27" t="s">
        <v>209</v>
      </c>
      <c r="M13" s="30" t="s">
        <v>43</v>
      </c>
      <c r="N13" s="71" t="s">
        <v>94</v>
      </c>
      <c r="O13" s="71" t="s">
        <v>45</v>
      </c>
      <c r="P13" s="30" t="s">
        <v>95</v>
      </c>
      <c r="Q13" s="69">
        <f>AVERAGE(4.7,4.4,4.9,5)</f>
        <v>4.75</v>
      </c>
      <c r="R13" s="69">
        <f>AVERAGE(5,3,4,3)</f>
        <v>3.75</v>
      </c>
      <c r="S13" s="30">
        <v>3.0</v>
      </c>
      <c r="T13" s="33">
        <f t="shared" si="9"/>
        <v>12.75</v>
      </c>
      <c r="U13" s="30" t="s">
        <v>49</v>
      </c>
      <c r="V13" s="34"/>
      <c r="W13" s="18"/>
      <c r="X13" s="18"/>
      <c r="Y13" s="18"/>
      <c r="Z13" s="18"/>
    </row>
    <row r="14">
      <c r="A14" s="30">
        <v>2026.0</v>
      </c>
      <c r="B14" s="30" t="s">
        <v>39</v>
      </c>
      <c r="C14" s="30">
        <v>5.0</v>
      </c>
      <c r="D14" s="75"/>
      <c r="E14" s="34"/>
      <c r="F14" s="57"/>
      <c r="G14" s="57"/>
      <c r="H14" s="34"/>
      <c r="I14" s="70"/>
      <c r="J14" s="30" t="s">
        <v>227</v>
      </c>
      <c r="K14" s="34"/>
      <c r="L14" s="34"/>
      <c r="M14" s="34"/>
      <c r="N14" s="72"/>
      <c r="O14" s="34"/>
      <c r="P14" s="30" t="s">
        <v>95</v>
      </c>
      <c r="Q14" s="73"/>
      <c r="R14" s="73"/>
      <c r="S14" s="34"/>
      <c r="T14" s="58"/>
      <c r="U14" s="34"/>
      <c r="V14" s="34"/>
      <c r="W14" s="18"/>
      <c r="X14" s="18"/>
      <c r="Y14" s="18"/>
      <c r="Z14" s="18"/>
    </row>
    <row r="15">
      <c r="A15" s="30">
        <v>2026.0</v>
      </c>
      <c r="B15" s="30" t="s">
        <v>39</v>
      </c>
      <c r="C15" s="30">
        <v>5.0</v>
      </c>
      <c r="D15" s="75"/>
      <c r="E15" s="34"/>
      <c r="F15" s="57"/>
      <c r="G15" s="57"/>
      <c r="H15" s="34"/>
      <c r="I15" s="70"/>
      <c r="J15" s="30" t="s">
        <v>228</v>
      </c>
      <c r="K15" s="34"/>
      <c r="L15" s="34"/>
      <c r="M15" s="34"/>
      <c r="N15" s="72"/>
      <c r="O15" s="34"/>
      <c r="P15" s="30" t="s">
        <v>95</v>
      </c>
      <c r="Q15" s="73"/>
      <c r="R15" s="73"/>
      <c r="S15" s="34"/>
      <c r="T15" s="58"/>
      <c r="U15" s="34"/>
      <c r="V15" s="34"/>
      <c r="W15" s="18"/>
      <c r="X15" s="18"/>
      <c r="Y15" s="18"/>
      <c r="Z15" s="18"/>
    </row>
    <row r="16">
      <c r="A16" s="30">
        <v>2026.0</v>
      </c>
      <c r="B16" s="30" t="s">
        <v>39</v>
      </c>
      <c r="C16" s="30">
        <v>6.0</v>
      </c>
      <c r="D16" s="30" t="s">
        <v>229</v>
      </c>
      <c r="E16" s="30" t="s">
        <v>230</v>
      </c>
      <c r="F16" s="55">
        <v>45916.0</v>
      </c>
      <c r="G16" s="55" t="s">
        <v>156</v>
      </c>
      <c r="H16" s="30" t="s">
        <v>231</v>
      </c>
      <c r="I16" s="28">
        <v>9732828.0</v>
      </c>
      <c r="J16" s="29" t="s">
        <v>232</v>
      </c>
      <c r="K16" s="27" t="s">
        <v>129</v>
      </c>
      <c r="L16" s="27" t="s">
        <v>209</v>
      </c>
      <c r="M16" s="30" t="s">
        <v>43</v>
      </c>
      <c r="N16" s="71" t="s">
        <v>233</v>
      </c>
      <c r="O16" s="30" t="s">
        <v>234</v>
      </c>
      <c r="P16" s="30" t="s">
        <v>95</v>
      </c>
      <c r="Q16" s="69">
        <f>AVERAGE(4.8,4.7,4.9,4.6)</f>
        <v>4.75</v>
      </c>
      <c r="R16" s="69">
        <f>AVERAGE(2.5,2.5,2,2.5)</f>
        <v>2.375</v>
      </c>
      <c r="S16" s="30">
        <v>3.0</v>
      </c>
      <c r="T16" s="33">
        <f>(AVERAGE(Q16, R16)*3) / IF(S16&lt;=3, 1, IF(S16&lt;=5, 2, S16/2))</f>
        <v>10.6875</v>
      </c>
      <c r="U16" s="30" t="s">
        <v>49</v>
      </c>
      <c r="V16" s="34"/>
      <c r="W16" s="18"/>
      <c r="X16" s="18"/>
      <c r="Y16" s="18"/>
      <c r="Z16" s="18"/>
    </row>
    <row r="17">
      <c r="A17" s="30">
        <v>2026.0</v>
      </c>
      <c r="B17" s="30" t="s">
        <v>39</v>
      </c>
      <c r="C17" s="30">
        <v>6.0</v>
      </c>
      <c r="D17" s="75"/>
      <c r="E17" s="34"/>
      <c r="F17" s="57"/>
      <c r="G17" s="57"/>
      <c r="H17" s="34"/>
      <c r="I17" s="70"/>
      <c r="J17" s="30" t="s">
        <v>235</v>
      </c>
      <c r="K17" s="34"/>
      <c r="L17" s="34"/>
      <c r="M17" s="34"/>
      <c r="N17" s="72"/>
      <c r="O17" s="34"/>
      <c r="P17" s="30" t="s">
        <v>236</v>
      </c>
      <c r="Q17" s="73"/>
      <c r="R17" s="73"/>
      <c r="S17" s="34"/>
      <c r="T17" s="58"/>
      <c r="U17" s="34"/>
      <c r="V17" s="34"/>
      <c r="W17" s="18"/>
      <c r="X17" s="18"/>
      <c r="Y17" s="18"/>
      <c r="Z17" s="18"/>
    </row>
    <row r="18">
      <c r="A18" s="30">
        <v>2026.0</v>
      </c>
      <c r="B18" s="30" t="s">
        <v>39</v>
      </c>
      <c r="C18" s="30">
        <v>6.0</v>
      </c>
      <c r="D18" s="75"/>
      <c r="E18" s="34"/>
      <c r="F18" s="57"/>
      <c r="G18" s="57"/>
      <c r="H18" s="34"/>
      <c r="I18" s="70"/>
      <c r="J18" s="30" t="s">
        <v>237</v>
      </c>
      <c r="K18" s="34"/>
      <c r="L18" s="34"/>
      <c r="M18" s="34"/>
      <c r="N18" s="72"/>
      <c r="O18" s="34"/>
      <c r="P18" s="30" t="s">
        <v>95</v>
      </c>
      <c r="Q18" s="73"/>
      <c r="R18" s="73"/>
      <c r="S18" s="34"/>
      <c r="T18" s="58"/>
      <c r="U18" s="34"/>
      <c r="V18" s="34"/>
      <c r="W18" s="18"/>
      <c r="X18" s="18"/>
      <c r="Y18" s="18"/>
      <c r="Z18" s="18"/>
    </row>
    <row r="19">
      <c r="A19" s="30">
        <v>2026.0</v>
      </c>
      <c r="B19" s="30" t="s">
        <v>39</v>
      </c>
      <c r="C19" s="30">
        <v>7.0</v>
      </c>
      <c r="D19" s="76" t="s">
        <v>238</v>
      </c>
      <c r="E19" s="30" t="s">
        <v>239</v>
      </c>
      <c r="F19" s="55">
        <v>45995.0</v>
      </c>
      <c r="G19" s="55" t="s">
        <v>156</v>
      </c>
      <c r="H19" s="30" t="s">
        <v>240</v>
      </c>
      <c r="I19" s="28">
        <v>1.8493676E7</v>
      </c>
      <c r="J19" s="29" t="s">
        <v>241</v>
      </c>
      <c r="K19" s="27" t="s">
        <v>92</v>
      </c>
      <c r="L19" s="27" t="s">
        <v>93</v>
      </c>
      <c r="M19" s="30" t="s">
        <v>43</v>
      </c>
      <c r="N19" s="71" t="s">
        <v>242</v>
      </c>
      <c r="O19" s="30" t="s">
        <v>132</v>
      </c>
      <c r="P19" s="30" t="s">
        <v>95</v>
      </c>
      <c r="Q19" s="69">
        <f>AVERAGE(4.6,4.2,4.7,4.3)</f>
        <v>4.45</v>
      </c>
      <c r="R19" s="69">
        <f>AVERAGE(3.8,3,3.5,3.5)</f>
        <v>3.45</v>
      </c>
      <c r="S19" s="30">
        <v>3.0</v>
      </c>
      <c r="T19" s="33">
        <f>(AVERAGE(Q19, R19)*3) / IF(S19&lt;=3, 1, IF(S19&lt;=5, 2, S19/2))</f>
        <v>11.85</v>
      </c>
      <c r="U19" s="30" t="s">
        <v>49</v>
      </c>
      <c r="V19" s="34"/>
      <c r="W19" s="18"/>
      <c r="X19" s="18"/>
      <c r="Y19" s="18"/>
      <c r="Z19" s="18"/>
    </row>
    <row r="20">
      <c r="A20" s="30">
        <v>2026.0</v>
      </c>
      <c r="B20" s="30" t="s">
        <v>39</v>
      </c>
      <c r="C20" s="30">
        <v>7.0</v>
      </c>
      <c r="D20" s="75"/>
      <c r="E20" s="34"/>
      <c r="F20" s="57"/>
      <c r="G20" s="57"/>
      <c r="H20" s="34"/>
      <c r="I20" s="70"/>
      <c r="J20" s="30" t="s">
        <v>243</v>
      </c>
      <c r="K20" s="34"/>
      <c r="L20" s="34"/>
      <c r="M20" s="34"/>
      <c r="N20" s="72"/>
      <c r="O20" s="34"/>
      <c r="P20" s="30" t="s">
        <v>95</v>
      </c>
      <c r="Q20" s="73"/>
      <c r="R20" s="73"/>
      <c r="S20" s="34"/>
      <c r="T20" s="58"/>
      <c r="U20" s="34"/>
      <c r="V20" s="34"/>
      <c r="W20" s="18"/>
      <c r="X20" s="18"/>
      <c r="Y20" s="18"/>
      <c r="Z20" s="18"/>
    </row>
    <row r="21">
      <c r="A21" s="30">
        <v>2026.0</v>
      </c>
      <c r="B21" s="30" t="s">
        <v>39</v>
      </c>
      <c r="C21" s="30">
        <v>7.0</v>
      </c>
      <c r="D21" s="75"/>
      <c r="E21" s="34"/>
      <c r="F21" s="57"/>
      <c r="G21" s="57"/>
      <c r="H21" s="34"/>
      <c r="I21" s="70"/>
      <c r="J21" s="30" t="s">
        <v>244</v>
      </c>
      <c r="K21" s="34"/>
      <c r="L21" s="34"/>
      <c r="M21" s="34"/>
      <c r="N21" s="72"/>
      <c r="O21" s="34"/>
      <c r="P21" s="30" t="s">
        <v>245</v>
      </c>
      <c r="Q21" s="73"/>
      <c r="R21" s="73"/>
      <c r="S21" s="34"/>
      <c r="T21" s="58"/>
      <c r="U21" s="34"/>
      <c r="V21" s="34"/>
      <c r="W21" s="18"/>
      <c r="X21" s="18"/>
      <c r="Y21" s="18"/>
      <c r="Z21" s="18"/>
    </row>
    <row r="22">
      <c r="A22" s="30">
        <v>2026.0</v>
      </c>
      <c r="B22" s="30" t="s">
        <v>39</v>
      </c>
      <c r="C22" s="30">
        <v>8.0</v>
      </c>
      <c r="D22" s="30" t="s">
        <v>246</v>
      </c>
      <c r="E22" s="30" t="s">
        <v>247</v>
      </c>
      <c r="F22" s="55">
        <v>45986.0</v>
      </c>
      <c r="G22" s="55" t="s">
        <v>156</v>
      </c>
      <c r="H22" s="30" t="s">
        <v>248</v>
      </c>
      <c r="I22" s="28">
        <v>1.8493676E7</v>
      </c>
      <c r="J22" s="29" t="s">
        <v>241</v>
      </c>
      <c r="K22" s="27" t="s">
        <v>92</v>
      </c>
      <c r="L22" s="27" t="s">
        <v>93</v>
      </c>
      <c r="M22" s="30" t="s">
        <v>43</v>
      </c>
      <c r="N22" s="71" t="s">
        <v>242</v>
      </c>
      <c r="O22" s="30" t="s">
        <v>132</v>
      </c>
      <c r="P22" s="30" t="s">
        <v>95</v>
      </c>
      <c r="Q22" s="69">
        <f>AVERAGE(4.5,4.3,4.6,4.4)</f>
        <v>4.45</v>
      </c>
      <c r="R22" s="69">
        <f>AVERAGE(4.5,3.5,4.3,4.6)</f>
        <v>4.225</v>
      </c>
      <c r="S22" s="30">
        <v>3.0</v>
      </c>
      <c r="T22" s="33">
        <f>(AVERAGE(Q22, R22)*3) / IF(S22&lt;=3, 1, IF(S22&lt;=5, 2, S22/2))</f>
        <v>13.0125</v>
      </c>
      <c r="U22" s="30" t="s">
        <v>49</v>
      </c>
      <c r="V22" s="34"/>
      <c r="W22" s="18"/>
      <c r="X22" s="18"/>
      <c r="Y22" s="18"/>
      <c r="Z22" s="18"/>
    </row>
    <row r="23">
      <c r="A23" s="30">
        <v>2026.0</v>
      </c>
      <c r="B23" s="30" t="s">
        <v>39</v>
      </c>
      <c r="C23" s="30">
        <v>8.0</v>
      </c>
      <c r="D23" s="75"/>
      <c r="E23" s="34"/>
      <c r="F23" s="57"/>
      <c r="G23" s="57"/>
      <c r="H23" s="34"/>
      <c r="I23" s="70"/>
      <c r="J23" s="30" t="s">
        <v>243</v>
      </c>
      <c r="K23" s="34"/>
      <c r="L23" s="34"/>
      <c r="M23" s="34"/>
      <c r="N23" s="72"/>
      <c r="O23" s="34"/>
      <c r="P23" s="30" t="s">
        <v>95</v>
      </c>
      <c r="Q23" s="73"/>
      <c r="R23" s="73"/>
      <c r="S23" s="34"/>
      <c r="T23" s="58"/>
      <c r="U23" s="34"/>
      <c r="V23" s="34"/>
      <c r="W23" s="18"/>
      <c r="X23" s="18"/>
      <c r="Y23" s="18"/>
      <c r="Z23" s="18"/>
    </row>
    <row r="24">
      <c r="A24" s="30">
        <v>2026.0</v>
      </c>
      <c r="B24" s="30" t="s">
        <v>39</v>
      </c>
      <c r="C24" s="30">
        <v>8.0</v>
      </c>
      <c r="D24" s="75"/>
      <c r="E24" s="34"/>
      <c r="F24" s="57"/>
      <c r="G24" s="57"/>
      <c r="H24" s="34"/>
      <c r="I24" s="70"/>
      <c r="J24" s="30" t="s">
        <v>244</v>
      </c>
      <c r="K24" s="34"/>
      <c r="L24" s="34"/>
      <c r="M24" s="34"/>
      <c r="N24" s="72"/>
      <c r="O24" s="34"/>
      <c r="P24" s="30" t="s">
        <v>245</v>
      </c>
      <c r="Q24" s="73"/>
      <c r="R24" s="73"/>
      <c r="S24" s="34"/>
      <c r="T24" s="58"/>
      <c r="U24" s="34"/>
      <c r="V24" s="34"/>
      <c r="W24" s="18"/>
      <c r="X24" s="18"/>
      <c r="Y24" s="18"/>
      <c r="Z24" s="18"/>
    </row>
    <row r="25">
      <c r="A25" s="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39" t="s">
        <v>249</v>
      </c>
      <c r="P26" s="40"/>
      <c r="Q26" s="40"/>
      <c r="R26" s="40"/>
      <c r="S26" s="41"/>
      <c r="T26" s="77">
        <f>SUM(T3:T25)</f>
        <v>162.9</v>
      </c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2"/>
      <c r="E29" s="18"/>
      <c r="F29" s="43" t="s">
        <v>51</v>
      </c>
      <c r="L29" s="43" t="s">
        <v>52</v>
      </c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44" t="s">
        <v>53</v>
      </c>
      <c r="L30" s="44" t="s">
        <v>54</v>
      </c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45" t="s">
        <v>55</v>
      </c>
      <c r="L31" s="45" t="s">
        <v>56</v>
      </c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45" t="s">
        <v>57</v>
      </c>
      <c r="L32" s="46" t="s">
        <v>58</v>
      </c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0">
    <mergeCell ref="F31:K31"/>
    <mergeCell ref="F32:K32"/>
    <mergeCell ref="L32:S32"/>
    <mergeCell ref="D1:U1"/>
    <mergeCell ref="O26:S26"/>
    <mergeCell ref="F29:K29"/>
    <mergeCell ref="L29:S29"/>
    <mergeCell ref="F30:K30"/>
    <mergeCell ref="L30:S30"/>
    <mergeCell ref="L31:S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/>
      <c r="B1" s="18"/>
      <c r="C1" s="18"/>
      <c r="D1" s="18"/>
      <c r="E1" s="18"/>
    </row>
    <row r="2">
      <c r="A2" s="26" t="s">
        <v>22</v>
      </c>
      <c r="B2" s="26" t="s">
        <v>23</v>
      </c>
      <c r="C2" s="26" t="s">
        <v>24</v>
      </c>
      <c r="D2" s="26" t="s">
        <v>250</v>
      </c>
      <c r="E2" s="26" t="s">
        <v>26</v>
      </c>
      <c r="F2" s="26" t="s">
        <v>72</v>
      </c>
      <c r="G2" s="26" t="s">
        <v>28</v>
      </c>
      <c r="H2" s="26" t="s">
        <v>29</v>
      </c>
      <c r="I2" s="26" t="s">
        <v>30</v>
      </c>
      <c r="J2" s="26" t="s">
        <v>31</v>
      </c>
      <c r="K2" s="26" t="s">
        <v>251</v>
      </c>
      <c r="L2" s="26" t="s">
        <v>252</v>
      </c>
      <c r="M2" s="26" t="s">
        <v>253</v>
      </c>
      <c r="N2" s="26" t="s">
        <v>254</v>
      </c>
      <c r="O2" s="47" t="s">
        <v>36</v>
      </c>
      <c r="P2" s="47" t="s">
        <v>37</v>
      </c>
      <c r="Q2" s="47" t="s">
        <v>153</v>
      </c>
    </row>
    <row r="3">
      <c r="A3" s="61">
        <v>2026.0</v>
      </c>
      <c r="B3" s="61" t="s">
        <v>39</v>
      </c>
      <c r="C3" s="61">
        <v>1.0</v>
      </c>
      <c r="D3" s="61">
        <v>9730805.0</v>
      </c>
      <c r="E3" s="63" t="s">
        <v>255</v>
      </c>
      <c r="F3" s="65" t="s">
        <v>92</v>
      </c>
      <c r="G3" s="61" t="s">
        <v>93</v>
      </c>
      <c r="H3" s="61" t="s">
        <v>43</v>
      </c>
      <c r="I3" s="61" t="s">
        <v>131</v>
      </c>
      <c r="J3" s="65" t="s">
        <v>132</v>
      </c>
      <c r="K3" s="61" t="s">
        <v>256</v>
      </c>
      <c r="L3" s="61" t="s">
        <v>257</v>
      </c>
      <c r="M3" s="61" t="s">
        <v>258</v>
      </c>
      <c r="N3" s="78" t="s">
        <v>259</v>
      </c>
      <c r="O3" s="66">
        <v>0.0</v>
      </c>
      <c r="P3" s="61" t="s">
        <v>49</v>
      </c>
      <c r="Q3" s="79" t="s">
        <v>260</v>
      </c>
    </row>
    <row r="4">
      <c r="A4" s="61">
        <v>2026.0</v>
      </c>
      <c r="B4" s="61" t="s">
        <v>39</v>
      </c>
      <c r="C4" s="61">
        <v>1.0</v>
      </c>
      <c r="D4" s="61">
        <v>9.4528666E7</v>
      </c>
      <c r="E4" s="63" t="s">
        <v>261</v>
      </c>
      <c r="F4" s="65" t="s">
        <v>129</v>
      </c>
      <c r="G4" s="61" t="s">
        <v>93</v>
      </c>
      <c r="H4" s="61" t="s">
        <v>43</v>
      </c>
      <c r="I4" s="61" t="s">
        <v>131</v>
      </c>
      <c r="J4" s="65" t="s">
        <v>132</v>
      </c>
      <c r="K4" s="61" t="s">
        <v>256</v>
      </c>
      <c r="L4" s="61" t="s">
        <v>257</v>
      </c>
      <c r="M4" s="61" t="s">
        <v>258</v>
      </c>
      <c r="N4" s="78" t="s">
        <v>259</v>
      </c>
      <c r="O4" s="66">
        <v>0.0</v>
      </c>
      <c r="P4" s="61" t="s">
        <v>49</v>
      </c>
      <c r="Q4" s="80"/>
    </row>
    <row r="5">
      <c r="A5" s="61">
        <v>2026.0</v>
      </c>
      <c r="B5" s="61" t="s">
        <v>39</v>
      </c>
      <c r="C5" s="61">
        <v>1.0</v>
      </c>
      <c r="D5" s="34"/>
      <c r="E5" s="61" t="s">
        <v>262</v>
      </c>
      <c r="F5" s="81"/>
      <c r="G5" s="81"/>
      <c r="H5" s="34"/>
      <c r="I5" s="34"/>
      <c r="J5" s="58"/>
      <c r="K5" s="34"/>
      <c r="L5" s="34"/>
      <c r="M5" s="34"/>
      <c r="N5" s="82"/>
      <c r="O5" s="58"/>
      <c r="P5" s="34"/>
      <c r="Q5" s="83"/>
    </row>
    <row r="6">
      <c r="A6" s="84">
        <v>2026.0</v>
      </c>
      <c r="B6" s="84" t="s">
        <v>39</v>
      </c>
      <c r="C6" s="84">
        <v>2.0</v>
      </c>
      <c r="D6" s="84">
        <v>4.208614E7</v>
      </c>
      <c r="E6" s="85" t="s">
        <v>263</v>
      </c>
      <c r="F6" s="86" t="s">
        <v>129</v>
      </c>
      <c r="G6" s="84" t="s">
        <v>209</v>
      </c>
      <c r="H6" s="84" t="s">
        <v>43</v>
      </c>
      <c r="I6" s="84" t="s">
        <v>264</v>
      </c>
      <c r="J6" s="86" t="s">
        <v>234</v>
      </c>
      <c r="K6" s="84" t="s">
        <v>265</v>
      </c>
      <c r="L6" s="84" t="s">
        <v>266</v>
      </c>
      <c r="M6" s="84" t="s">
        <v>267</v>
      </c>
      <c r="N6" s="87">
        <v>45957.0</v>
      </c>
      <c r="O6" s="88">
        <v>10.0</v>
      </c>
      <c r="P6" s="84" t="s">
        <v>49</v>
      </c>
      <c r="Q6" s="84" t="s">
        <v>268</v>
      </c>
    </row>
    <row r="7">
      <c r="A7" s="30">
        <v>2026.0</v>
      </c>
      <c r="B7" s="30" t="s">
        <v>39</v>
      </c>
      <c r="C7" s="30">
        <v>2.0</v>
      </c>
      <c r="D7" s="34"/>
      <c r="E7" s="30" t="s">
        <v>269</v>
      </c>
      <c r="F7" s="58"/>
      <c r="G7" s="34"/>
      <c r="H7" s="34"/>
      <c r="I7" s="34"/>
      <c r="J7" s="58"/>
      <c r="K7" s="34"/>
      <c r="L7" s="34"/>
      <c r="M7" s="34"/>
      <c r="N7" s="82"/>
      <c r="O7" s="58"/>
      <c r="P7" s="34"/>
      <c r="Q7" s="34"/>
    </row>
    <row r="8">
      <c r="A8" s="30">
        <v>2026.0</v>
      </c>
      <c r="B8" s="30" t="s">
        <v>39</v>
      </c>
      <c r="C8" s="30">
        <v>2.0</v>
      </c>
      <c r="D8" s="34"/>
      <c r="E8" s="30" t="s">
        <v>270</v>
      </c>
      <c r="F8" s="81"/>
      <c r="G8" s="81"/>
      <c r="H8" s="34"/>
      <c r="I8" s="34"/>
      <c r="J8" s="58"/>
      <c r="K8" s="34"/>
      <c r="L8" s="34"/>
      <c r="M8" s="34"/>
      <c r="N8" s="82"/>
      <c r="O8" s="58"/>
      <c r="P8" s="34"/>
      <c r="Q8" s="34"/>
    </row>
    <row r="9">
      <c r="A9" s="30">
        <v>2026.0</v>
      </c>
      <c r="B9" s="30" t="s">
        <v>39</v>
      </c>
      <c r="C9" s="30">
        <v>3.0</v>
      </c>
      <c r="D9" s="30">
        <v>6.6736378E7</v>
      </c>
      <c r="E9" s="29" t="s">
        <v>271</v>
      </c>
      <c r="F9" s="31" t="s">
        <v>129</v>
      </c>
      <c r="G9" s="30" t="s">
        <v>130</v>
      </c>
      <c r="H9" s="30" t="s">
        <v>43</v>
      </c>
      <c r="I9" s="30" t="s">
        <v>233</v>
      </c>
      <c r="J9" s="31" t="s">
        <v>234</v>
      </c>
      <c r="K9" s="30" t="s">
        <v>272</v>
      </c>
      <c r="L9" s="30" t="s">
        <v>273</v>
      </c>
      <c r="M9" s="30" t="s">
        <v>267</v>
      </c>
      <c r="N9" s="32">
        <v>45957.0</v>
      </c>
      <c r="O9" s="33">
        <v>10.0</v>
      </c>
      <c r="P9" s="30" t="s">
        <v>49</v>
      </c>
      <c r="Q9" s="30" t="s">
        <v>274</v>
      </c>
    </row>
    <row r="10">
      <c r="A10" s="30">
        <v>2026.0</v>
      </c>
      <c r="B10" s="30" t="s">
        <v>39</v>
      </c>
      <c r="C10" s="30">
        <v>3.0</v>
      </c>
      <c r="D10" s="34"/>
      <c r="E10" s="30" t="s">
        <v>275</v>
      </c>
      <c r="F10" s="58"/>
      <c r="G10" s="34"/>
      <c r="H10" s="34"/>
      <c r="I10" s="34"/>
      <c r="J10" s="58"/>
      <c r="K10" s="34"/>
      <c r="L10" s="34"/>
      <c r="M10" s="34"/>
      <c r="N10" s="82"/>
      <c r="O10" s="58"/>
      <c r="P10" s="34"/>
      <c r="Q10" s="34"/>
    </row>
    <row r="11">
      <c r="A11" s="30">
        <v>2026.0</v>
      </c>
      <c r="B11" s="30" t="s">
        <v>39</v>
      </c>
      <c r="C11" s="30">
        <v>3.0</v>
      </c>
      <c r="D11" s="34"/>
      <c r="E11" s="30" t="s">
        <v>276</v>
      </c>
      <c r="F11" s="81"/>
      <c r="G11" s="81"/>
      <c r="H11" s="34"/>
      <c r="I11" s="34"/>
      <c r="J11" s="58"/>
      <c r="K11" s="34"/>
      <c r="L11" s="34"/>
      <c r="M11" s="34"/>
      <c r="N11" s="82"/>
      <c r="O11" s="58"/>
      <c r="P11" s="34"/>
      <c r="Q11" s="34"/>
    </row>
  </sheetData>
  <mergeCells count="2">
    <mergeCell ref="E1:Q1"/>
    <mergeCell ref="Q3:Q5"/>
  </mergeCells>
  <drawing r:id="rId2"/>
  <legacyDrawing r:id="rId3"/>
</worksheet>
</file>