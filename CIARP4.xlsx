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8BB16CD4-5E7E-49F3-873C-AECE2EC71547}" xr6:coauthVersionLast="47" xr6:coauthVersionMax="47" xr10:uidLastSave="{00000000-0000-0000-0000-000000000000}"/>
  <bookViews>
    <workbookView xWindow="-120" yWindow="-120" windowWidth="20730" windowHeight="11040" tabRatio="838" activeTab="10" xr2:uid="{00000000-000D-0000-FFFF-FFFF00000000}"/>
  </bookViews>
  <sheets>
    <sheet name="Titulo" sheetId="64" r:id="rId1"/>
    <sheet name="Ascenso_Categoria" sheetId="52" r:id="rId2"/>
    <sheet name="Pub_Rev_Index" sheetId="53" r:id="rId3"/>
    <sheet name="Prod_Videos" sheetId="56" r:id="rId4"/>
    <sheet name="Libro_Texto" sheetId="58" r:id="rId5"/>
    <sheet name="Libro_Ensayo" sheetId="54" r:id="rId6"/>
    <sheet name="Libro_Res_Investigacion" sheetId="57" state="hidden" r:id="rId7"/>
    <sheet name="Premios" sheetId="72" r:id="rId8"/>
    <sheet name="Patentes" sheetId="60" state="hidden" r:id="rId9"/>
    <sheet name="Obras_Artisticas" sheetId="61" r:id="rId10"/>
    <sheet name="Prod_Tecnica" sheetId="62" r:id="rId11"/>
    <sheet name="Prod_Software" sheetId="63" state="hidden" r:id="rId12"/>
    <sheet name="DAA" sheetId="65" state="hidden" r:id="rId13"/>
    <sheet name="DDD_Auxiliar" sheetId="66" state="hidden" r:id="rId14"/>
    <sheet name="DDD_Asistente" sheetId="68" state="hidden" r:id="rId15"/>
    <sheet name="DDD_Asociado" sheetId="67" state="hidden" r:id="rId16"/>
    <sheet name="DDD_Titular" sheetId="69" state="hidden" r:id="rId17"/>
    <sheet name="Exp_Calificada" sheetId="70" state="hidden" r:id="rId18"/>
  </sheets>
  <definedNames>
    <definedName name="_xlnm._FilterDatabase" localSheetId="17" hidden="1">Exp_Calificada!$A$3:$L$265</definedName>
    <definedName name="_xlnm._FilterDatabase" localSheetId="2" hidden="1">Pub_Rev_Index!$A$1:$AA$2</definedName>
    <definedName name="_xlnm.Print_Titles" localSheetId="1">Ascenso_Categoria!$1:$1</definedName>
    <definedName name="_xlnm.Print_Titles" localSheetId="12">DAA!$2:$3</definedName>
    <definedName name="_xlnm.Print_Titles" localSheetId="17">Exp_Calificada!$2:$3</definedName>
    <definedName name="_xlnm.Print_Titles" localSheetId="5">Libro_Ensayo!$1:$1</definedName>
    <definedName name="_xlnm.Print_Titles" localSheetId="4">Libro_Texto!$1:$1</definedName>
    <definedName name="_xlnm.Print_Titles" localSheetId="10">Prod_Tecnica!$1:$1</definedName>
    <definedName name="_xlnm.Print_Titles" localSheetId="2">Pub_Rev_Index!$1:$2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8" i="56" l="1"/>
  <c r="O5" i="64"/>
  <c r="Q70" i="54"/>
  <c r="P70" i="54"/>
  <c r="Q69" i="54"/>
  <c r="P69" i="54"/>
  <c r="Q67" i="54"/>
  <c r="P67" i="54"/>
  <c r="Q66" i="54"/>
  <c r="P66" i="54"/>
  <c r="Q64" i="54"/>
  <c r="P64" i="54"/>
  <c r="Q63" i="54"/>
  <c r="P63" i="54"/>
  <c r="Q61" i="54"/>
  <c r="P61" i="54"/>
  <c r="Q60" i="54"/>
  <c r="P60" i="54"/>
  <c r="Q57" i="54"/>
  <c r="P57" i="54"/>
  <c r="X19" i="53"/>
  <c r="S67" i="54" l="1"/>
  <c r="S70" i="54"/>
  <c r="S66" i="54"/>
  <c r="S69" i="54"/>
  <c r="S64" i="54"/>
  <c r="S63" i="54"/>
  <c r="S60" i="54"/>
  <c r="S61" i="54"/>
  <c r="X10" i="53"/>
  <c r="X11" i="53"/>
  <c r="P56" i="54" l="1"/>
  <c r="Q56" i="54"/>
  <c r="Q55" i="54"/>
  <c r="P55" i="54"/>
  <c r="Q54" i="54"/>
  <c r="P54" i="54"/>
  <c r="Q43" i="54"/>
  <c r="Q44" i="54"/>
  <c r="Q42" i="54"/>
  <c r="Q51" i="54"/>
  <c r="P2" i="54"/>
  <c r="Q53" i="54"/>
  <c r="P53" i="54"/>
  <c r="Q52" i="54"/>
  <c r="P52" i="54"/>
  <c r="P51" i="54"/>
  <c r="Q48" i="54"/>
  <c r="P48" i="54"/>
  <c r="Q45" i="54"/>
  <c r="P45" i="54"/>
  <c r="P44" i="54"/>
  <c r="P43" i="54"/>
  <c r="P42" i="54"/>
  <c r="P40" i="54"/>
  <c r="Q40" i="54"/>
  <c r="R5" i="58"/>
  <c r="Q5" i="58"/>
  <c r="T5" i="58" s="1"/>
  <c r="O11" i="72"/>
  <c r="Q4" i="54"/>
  <c r="P4" i="54"/>
  <c r="R4" i="58"/>
  <c r="Q4" i="58"/>
  <c r="K11" i="52" a="1"/>
  <c r="K11" i="52" s="1"/>
  <c r="K12" i="52" a="1"/>
  <c r="K12" i="52" s="1"/>
  <c r="K13" i="52" a="1"/>
  <c r="K13" i="52" s="1"/>
  <c r="K14" i="52" a="1"/>
  <c r="K14" i="52" s="1"/>
  <c r="X9" i="53"/>
  <c r="R2" i="58"/>
  <c r="Q2" i="58"/>
  <c r="Q5" i="54"/>
  <c r="P5" i="54"/>
  <c r="X6" i="53"/>
  <c r="X3" i="53"/>
  <c r="Q3" i="54"/>
  <c r="P3" i="54"/>
  <c r="Q2" i="54"/>
  <c r="K2" i="52" a="1"/>
  <c r="K2" i="52" s="1"/>
  <c r="K3" i="52" a="1"/>
  <c r="K3" i="52" s="1"/>
  <c r="K4" i="52" a="1"/>
  <c r="K4" i="52" s="1"/>
  <c r="K5" i="52" a="1"/>
  <c r="K5" i="52" s="1"/>
  <c r="K6" i="52" a="1"/>
  <c r="K6" i="52" s="1"/>
  <c r="K7" i="52" a="1"/>
  <c r="K7" i="52" s="1"/>
  <c r="K8" i="52" a="1"/>
  <c r="K8" i="52" s="1"/>
  <c r="K9" i="52" a="1"/>
  <c r="K9" i="52" s="1"/>
  <c r="K10" i="52" a="1"/>
  <c r="K10" i="52" s="1"/>
  <c r="K16" i="52" l="1"/>
  <c r="X22" i="53"/>
  <c r="S51" i="54"/>
  <c r="S55" i="54"/>
  <c r="S54" i="54"/>
  <c r="S56" i="54"/>
  <c r="S53" i="54"/>
  <c r="S52" i="54"/>
  <c r="S43" i="54"/>
  <c r="S42" i="54"/>
  <c r="S44" i="54"/>
  <c r="S48" i="54"/>
  <c r="S45" i="54"/>
  <c r="S40" i="54"/>
  <c r="S4" i="54"/>
  <c r="T2" i="58"/>
  <c r="T4" i="58"/>
  <c r="S5" i="54"/>
  <c r="S2" i="54"/>
  <c r="S3" i="54"/>
  <c r="T9" i="58" l="1"/>
  <c r="Q5" i="57" l="1"/>
  <c r="P5" i="57"/>
  <c r="Q4" i="57"/>
  <c r="P4" i="57"/>
  <c r="S4" i="57"/>
  <c r="S5" i="57"/>
  <c r="P7" i="63"/>
  <c r="P19" i="62" l="1"/>
  <c r="Q3" i="57" l="1"/>
  <c r="P3" i="57"/>
  <c r="S3" i="57" s="1"/>
  <c r="S8" i="57" s="1"/>
  <c r="S4" i="61" l="1"/>
  <c r="P6" i="60" l="1"/>
  <c r="S57" i="54" l="1"/>
  <c r="S72" i="5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<sst xmlns="http://schemas.openxmlformats.org/spreadsheetml/2006/main" count="3954" uniqueCount="863">
  <si>
    <t>PUNTOS ASIGNADOS</t>
  </si>
  <si>
    <t>SEMESTRE</t>
  </si>
  <si>
    <t>FACULTAD</t>
  </si>
  <si>
    <t>TIEMPO DE 
DEDICACIÓN</t>
  </si>
  <si>
    <t>ESCOLARIDAD</t>
  </si>
  <si>
    <t>No.</t>
  </si>
  <si>
    <t>AÑO</t>
  </si>
  <si>
    <t>NOMBRE DEL DOCENTE</t>
  </si>
  <si>
    <t>TC</t>
  </si>
  <si>
    <t>Universidad del Quindío</t>
  </si>
  <si>
    <t>Asociado</t>
  </si>
  <si>
    <t>Titular</t>
  </si>
  <si>
    <t>__________________________________</t>
  </si>
  <si>
    <t>_______________________________</t>
  </si>
  <si>
    <t>LINA MARCELA CRUZ CALDERÓN</t>
  </si>
  <si>
    <t>Proyectó y Elaboró</t>
  </si>
  <si>
    <t>Revisó</t>
  </si>
  <si>
    <t>Maestría</t>
  </si>
  <si>
    <t>LUZ AMPARO CELIS BURITICÁ</t>
  </si>
  <si>
    <t>Técnico Oficina de Asuntos Profesorales</t>
  </si>
  <si>
    <t>Jefe Oficina Asuntos Profesorales y Secretaria Ejecutiva CIARP</t>
  </si>
  <si>
    <t>Doctorado</t>
  </si>
  <si>
    <t>Asistente</t>
  </si>
  <si>
    <t>Ciencias de la Educación</t>
  </si>
  <si>
    <t>II</t>
  </si>
  <si>
    <t>Ciencias Humanas y Bellas Artes</t>
  </si>
  <si>
    <t>Licenciatura en Educación Física, Recreación y Deportes</t>
  </si>
  <si>
    <t>Ingeniería</t>
  </si>
  <si>
    <t>OBSERVACIONES</t>
  </si>
  <si>
    <t>OBSERVACIÓN</t>
  </si>
  <si>
    <t>PROGRAMA</t>
  </si>
  <si>
    <t>TÍTULO ARTÍCULO</t>
  </si>
  <si>
    <t>MODALIDAD</t>
  </si>
  <si>
    <t>TIPO</t>
  </si>
  <si>
    <t>PAIS</t>
  </si>
  <si>
    <t>ISSN REVISTA</t>
  </si>
  <si>
    <t>NOMBRE REVISTA</t>
  </si>
  <si>
    <t>PUBLINDEX</t>
  </si>
  <si>
    <t>CATEGORÍA
REVISTA</t>
  </si>
  <si>
    <t>EDITORIAL</t>
  </si>
  <si>
    <t>FECHA</t>
  </si>
  <si>
    <t>DOCUMENTO DE IDENTIFICAC.</t>
  </si>
  <si>
    <t>NOMBRES DE AUTORES PERTENECIENTES A UNIVERSIDADES</t>
  </si>
  <si>
    <t>CATEGORÍA DEL
DOCENTE</t>
  </si>
  <si>
    <t>PUNTAJE AUTOR</t>
  </si>
  <si>
    <t>UNIVERSIDAD DE LOS AUTORES (PARTICIPANTES)</t>
  </si>
  <si>
    <t>RECIBIDO</t>
  </si>
  <si>
    <t>APROBADO</t>
  </si>
  <si>
    <t>PUBLICADO</t>
  </si>
  <si>
    <t>Full paper</t>
  </si>
  <si>
    <t>Internacional</t>
  </si>
  <si>
    <t>Medicina</t>
  </si>
  <si>
    <t>Ciencias de la Salud</t>
  </si>
  <si>
    <t>LEONARDO IVÁN QUINTANA URREA</t>
  </si>
  <si>
    <t>Trabajo Social</t>
  </si>
  <si>
    <t>Química</t>
  </si>
  <si>
    <t>Ciencias Básicas y Tecnologías</t>
  </si>
  <si>
    <t>Seguridad y Salud en el Trabajo</t>
  </si>
  <si>
    <t>Enfermería</t>
  </si>
  <si>
    <t>Auxiliar</t>
  </si>
  <si>
    <t>Ingeniería Civil</t>
  </si>
  <si>
    <t>TOTAL PUNTOS PUB. REV. INDEXADA</t>
  </si>
  <si>
    <t>Técnico Oficina Asuntos Profesorales</t>
  </si>
  <si>
    <t>Ciencias Económicas, Administrativas y Contables</t>
  </si>
  <si>
    <t>Contaduría Pública</t>
  </si>
  <si>
    <t>IDENTIFICACIÓN</t>
  </si>
  <si>
    <t>TIEMPO DE DEDICACIÓN</t>
  </si>
  <si>
    <t>RES. DE APROBACIÓN C.E.I.
o Acta de Aprob.CEI</t>
  </si>
  <si>
    <t>FECHA DE ASCENSO
( a partir de)</t>
  </si>
  <si>
    <t>CATEGORÍA APROBADA</t>
  </si>
  <si>
    <t>Biología</t>
  </si>
  <si>
    <t>Ingeniería Electrónica</t>
  </si>
  <si>
    <t>Ingeniería de Sistemas y Computación</t>
  </si>
  <si>
    <t>LIGIA JANNETH MOLINA RICO</t>
  </si>
  <si>
    <t>Licenciatura en Biología y Educación Ambiental</t>
  </si>
  <si>
    <t>TOTAL PUNTOS CAMBIO DE CATEGORÍA</t>
  </si>
  <si>
    <t>Tecnología en Instrumentación Electrónica</t>
  </si>
  <si>
    <t>Ingeniería Topográfica y Geomática</t>
  </si>
  <si>
    <t>NOMBRE DEL LIBRO ENSAYO</t>
  </si>
  <si>
    <t>ISBN</t>
  </si>
  <si>
    <t>DOCUMENTO DE 
IDENTIFICACIÓN</t>
  </si>
  <si>
    <t>AUTORES</t>
  </si>
  <si>
    <t>CATEGORÍA</t>
  </si>
  <si>
    <t>PROGRAMA ACADÉMICO</t>
  </si>
  <si>
    <t>UNIVERSIDAD.
PARTICIPANT</t>
  </si>
  <si>
    <t>PUNTOS EVALUACIÓN PARES MINCIENCIAS</t>
  </si>
  <si>
    <t>ACTA Y 
FECHA</t>
  </si>
  <si>
    <t xml:space="preserve">OBSERVACIONES </t>
  </si>
  <si>
    <t>I</t>
  </si>
  <si>
    <t>_________________________________</t>
  </si>
  <si>
    <t>978-628-7783-32-4</t>
  </si>
  <si>
    <t>Planeación laboral. Estrategia financiera para emprendedores y empresarios</t>
  </si>
  <si>
    <t xml:space="preserve">CONSTANZA LORETH FAJARDO CALDERON </t>
  </si>
  <si>
    <t>Santa Fajardo, Laura Michel</t>
  </si>
  <si>
    <t>Santa Fajardo, Magda del Pilar</t>
  </si>
  <si>
    <t>BERMUDEZ RESTREPO CAROLINA</t>
  </si>
  <si>
    <t>GARCÍA GIRALDO CARLOS ANDRÉS</t>
  </si>
  <si>
    <t>GIRALDO CORREA MARÍA PATRICIA</t>
  </si>
  <si>
    <t xml:space="preserve">JARAMILLO LOTERO RAFAEL ALEXANDER </t>
  </si>
  <si>
    <t>Inició comisión académico-admon el 07/05/2025 como Directora del Programa de Administración Financiera</t>
  </si>
  <si>
    <t xml:space="preserve">CAICEDO GONZÁLEZ IVONNE </t>
  </si>
  <si>
    <t>Artes Visuales</t>
  </si>
  <si>
    <t xml:space="preserve">AGUILLÓN OSMA JOHANNY </t>
  </si>
  <si>
    <t>LOANGO CHAMORRO NELSY</t>
  </si>
  <si>
    <t>MANTILLA MELUK HUGO</t>
  </si>
  <si>
    <t xml:space="preserve">VALENCIA ROJAS MÓNICA PATRICIA </t>
  </si>
  <si>
    <t>VARGAS SALINAS FERNANDO</t>
  </si>
  <si>
    <t>HERNÁNDEZ CARVAJAL ANDRÉS MAURICIO</t>
  </si>
  <si>
    <t>Comunicación Social - Periodismo</t>
  </si>
  <si>
    <t xml:space="preserve">CATAÑO CASTRO FRANKLIN </t>
  </si>
  <si>
    <t>Especialización</t>
  </si>
  <si>
    <t>TORRES CASTAÑO ANA GLADYS</t>
  </si>
  <si>
    <t>Economía</t>
  </si>
  <si>
    <t>Inició comisión académico-admon el 01/06/2023 como Directora del Programa de Economía</t>
  </si>
  <si>
    <t>Filosofía</t>
  </si>
  <si>
    <t>Física</t>
  </si>
  <si>
    <t>Inició comisión académico-admon el 01/06/2023 como Director del Programa de Física</t>
  </si>
  <si>
    <t>Gerontología</t>
  </si>
  <si>
    <t>CANO SALDAÑA LEONARDO</t>
  </si>
  <si>
    <t>CUÉLLAR REYES ÁLVARO JAVIER</t>
  </si>
  <si>
    <t>FLÓREZ GALVEZ JORGE HERNÁN</t>
  </si>
  <si>
    <t>MARMOLEJO CARDONA MARIO ALBERTO</t>
  </si>
  <si>
    <t>Inició comisión académico-admon el 01/05/2023 como Rector, estaba en comisión académico-admon como Vicerrector de Extensión desde el 30/12/2015</t>
  </si>
  <si>
    <t>Inició comisión académico-admon el 02/05/2023 como Vicerrector Académico</t>
  </si>
  <si>
    <t xml:space="preserve">Inició comisión académico-admon el 01/06/2023 como Decana de la Facultad de Ingeniería </t>
  </si>
  <si>
    <t>Ingeniería de Alimentos</t>
  </si>
  <si>
    <t>LUNA RAMÍREZ JULIO CÉSAR</t>
  </si>
  <si>
    <t>QUINTERO CASTAÑO VICTOR DUMAR</t>
  </si>
  <si>
    <t>Inició comisión académico-admon el 01/06/2023 como Decano de la Facultad de Ciencias Agroindustriales</t>
  </si>
  <si>
    <t>TORRES VARGAS OLGA LUCÍA</t>
  </si>
  <si>
    <t>Inició comisión académico-admon el 02/05/2023 como Vicerrector de Investigación</t>
  </si>
  <si>
    <t>JARAMILLO VALBUENA SONIA</t>
  </si>
  <si>
    <t>TRIVIÑO ARBELAEZ JORGE IVÁN</t>
  </si>
  <si>
    <t>BUITRAGO JAIME ALBERTO</t>
  </si>
  <si>
    <t xml:space="preserve">CAMPO MUÑOZ WILMAR YESID </t>
  </si>
  <si>
    <t xml:space="preserve">Asociado </t>
  </si>
  <si>
    <t>RAMÍREZ JIMÉNEZ DIEGO FERNANDO</t>
  </si>
  <si>
    <t>Inició comisión académico-admon el 01/06/2023 como Director del Programa de Ingeniería Topográfica y Geomática</t>
  </si>
  <si>
    <t>HURTADO BEDOYA CARLOS ALBERTO</t>
  </si>
  <si>
    <t>LONDOÑO PINILLA DARÍO FERNANDO</t>
  </si>
  <si>
    <t>CORREA GALLEGO HERNANDO</t>
  </si>
  <si>
    <t>LÓPEZ GARCÍA JORGE ALBERTO</t>
  </si>
  <si>
    <t>BOTERO RESTREPO MARGARITA ALEXANDRA</t>
  </si>
  <si>
    <t xml:space="preserve">GARCÍA BOTERO JACQUELINE </t>
  </si>
  <si>
    <t>LEAL ANDREIA</t>
  </si>
  <si>
    <t xml:space="preserve">RICO BUITRAGO LARISSA TATIANA </t>
  </si>
  <si>
    <t>Inició comisión académico-admon el 11/10/2024 como Director del Programa de Lic. En Lenguas Modernas</t>
  </si>
  <si>
    <t>ACEVEDO CARVAJAL JUAN MANUEL</t>
  </si>
  <si>
    <t>ABELLO MUÑOZ CARLOS ALBERTO</t>
  </si>
  <si>
    <t xml:space="preserve">Titular </t>
  </si>
  <si>
    <t>COLORADO TORRES HUMBERTO</t>
  </si>
  <si>
    <t>GALVIS SOTO DIANA MILENA</t>
  </si>
  <si>
    <t>OSPINA MARULANDA LILIANA PATRICIA</t>
  </si>
  <si>
    <t>TORO ZAPATA HERNÁN DARIO</t>
  </si>
  <si>
    <t xml:space="preserve">CABEZA ACEVEDO NANCY YHOMARA </t>
  </si>
  <si>
    <t>CASTAÑO OSORIO JHON CARLOS</t>
  </si>
  <si>
    <t>GAITAN BUITRAGO MARÍA HELENA</t>
  </si>
  <si>
    <t>GARCÍA ZULUAGA GILBERTO</t>
  </si>
  <si>
    <t>Pregrado</t>
  </si>
  <si>
    <t>NIETO CÁRDENAS OLGA ALICIA</t>
  </si>
  <si>
    <t>PADILLA SANABRIA LEONARDO</t>
  </si>
  <si>
    <t>RUIZ HOYOS BAYRON MANUEL</t>
  </si>
  <si>
    <t>SÁNCHEZ VALLEJO JAIME</t>
  </si>
  <si>
    <t>ZULUAGA GALLEGO JORGE</t>
  </si>
  <si>
    <t>AGUDELO AGUIRRE FERNANDO</t>
  </si>
  <si>
    <t>ARIZA HURTADO JAIRO</t>
  </si>
  <si>
    <t>BLACH VARGAS DIANA</t>
  </si>
  <si>
    <t>DUQUE CIFUENTES ALBA LUCIA</t>
  </si>
  <si>
    <t>GARCIA DE OSSA JHON JAIRO</t>
  </si>
  <si>
    <t>GARCÍA RÍOS ALEJANDRO</t>
  </si>
  <si>
    <t>GOMEZ BARRERA MILTON</t>
  </si>
  <si>
    <t>Inició comisión académico-admon el 01/06/2023 como Decana de la Facultad de Ciencias Básicas y Tecnologías</t>
  </si>
  <si>
    <t xml:space="preserve">RODRÍGUEZ ESPINOSA JHON ALEXANDER </t>
  </si>
  <si>
    <t>Inició comisión académico-admon el 01/06/2023 como Director del Programa de Química</t>
  </si>
  <si>
    <t>SANCHEZ LOPEZ ALBERTO</t>
  </si>
  <si>
    <t>VILLA ZABALA CRISTIAN CAMILO</t>
  </si>
  <si>
    <t>PÉREZ PENAGOS JOHN JAMES</t>
  </si>
  <si>
    <t>RODRÍGUEZ IDROBO NASLY CRISTINA</t>
  </si>
  <si>
    <t>SAZA RAMÍREZ NOLBEDIR</t>
  </si>
  <si>
    <t>VILLAMIZAR VARGAS RAFAEL HUMBERTO</t>
  </si>
  <si>
    <t>ARANGO RAMIRO</t>
  </si>
  <si>
    <t>CARDENAS VALENCIA CARLOS ANDRÉS</t>
  </si>
  <si>
    <t>CARDONA BOTERO HUBERT</t>
  </si>
  <si>
    <t>GARCIA ARIAS JAIR ASDRUBAL</t>
  </si>
  <si>
    <t>GORDILLO DELGADO FERNANDO</t>
  </si>
  <si>
    <t>HOYOS GUTIERREZ JOSE GABRIEL</t>
  </si>
  <si>
    <t>Tecnología en Instrumentación  Electrónica</t>
  </si>
  <si>
    <t>PRIAS BARRAGAN JHON JAIRO</t>
  </si>
  <si>
    <t>BOTERO ECHEVERRY GUSTAVO</t>
  </si>
  <si>
    <t>Tecnología en Obras Civiles</t>
  </si>
  <si>
    <t>DE LA ROSA BOBADILLA JHON JAIME</t>
  </si>
  <si>
    <t>Inició comisión académico-admon el 01/06/2023 como Decano de la Facultad de Ciencias Humanas y Bellas Artes</t>
  </si>
  <si>
    <t>GIL RÍOS ANA MARÍA</t>
  </si>
  <si>
    <t>Inició comisión académico-admon el 01/06/2023 como Directora del Programa de Trabajo Social</t>
  </si>
  <si>
    <t>MORALES VASCO MARÍA LEONOR</t>
  </si>
  <si>
    <t xml:space="preserve">VELA MURILLO NORMA PATRICIA </t>
  </si>
  <si>
    <t>GUTIÉRREZ ROBLEDO RAMÓN</t>
  </si>
  <si>
    <t>Zootecnia</t>
  </si>
  <si>
    <t>Ciencias Agroindustriales</t>
  </si>
  <si>
    <t>HURTADO VILLEGAS JAIME</t>
  </si>
  <si>
    <t>REYES PINEDA HENRY</t>
  </si>
  <si>
    <t>Inició comisión académico-admon el 01/06/2023 como Director del Programa de Zootecnia</t>
  </si>
  <si>
    <t>Administración de Negocios</t>
  </si>
  <si>
    <t>Administración Financiera</t>
  </si>
  <si>
    <t>NUMERO DE AUTORES</t>
  </si>
  <si>
    <t>PAR EVALUADOR MINCIENCIAS 1</t>
  </si>
  <si>
    <t>PAR EVALUADOR MINCIENCIAS 2</t>
  </si>
  <si>
    <t>Universidad de Manizales</t>
  </si>
  <si>
    <t>Kinesis Ltda</t>
  </si>
  <si>
    <t>B</t>
  </si>
  <si>
    <t>NOMBRE DE LA PROD. AUDIOVISUAL</t>
  </si>
  <si>
    <t>APORTE AUDIOVISAL</t>
  </si>
  <si>
    <t>IMPÁCTO</t>
  </si>
  <si>
    <t>DURACIÓN DE LA EMISIÓN Y AÑO DE PRODUCCIÓN</t>
  </si>
  <si>
    <t>ENTIDAD DIFUSORA QUE CERTIFICA</t>
  </si>
  <si>
    <t>Autoría del Contenido y Realizador, Director o Productor Técnico</t>
  </si>
  <si>
    <t>Camilo Andrés López Leal</t>
  </si>
  <si>
    <t>NOMBRE DEL LIBRO</t>
  </si>
  <si>
    <t>Disonancias del paisaje: análisis socioecosistémico del paisaje cultural cafetero</t>
  </si>
  <si>
    <t>Universidad del
 Quindío</t>
  </si>
  <si>
    <t>3- 30/05/2025</t>
  </si>
  <si>
    <t>ALBA LEONILDE SUAREZ ARIAS</t>
  </si>
  <si>
    <t>Norberto Marín Clavijo</t>
  </si>
  <si>
    <t xml:space="preserve"> LIBROS PROD. INVESTIGACIÓN </t>
  </si>
  <si>
    <t>___________________________________</t>
  </si>
  <si>
    <t>NOMBRE DEL LIBRO TEXTO</t>
  </si>
  <si>
    <t>ESPACIO ACADÉMICO</t>
  </si>
  <si>
    <t>TOTAL PUNTOS LIBROS TEXTO</t>
  </si>
  <si>
    <t>DOCUMENTO DE IDENTIFICACIÓN</t>
  </si>
  <si>
    <t>TÍTULO DEL TRABAJO</t>
  </si>
  <si>
    <t xml:space="preserve">PREMIO O DISTINCIÓN </t>
  </si>
  <si>
    <t>ENTIDAD QUE OTORGA EL PREMIO</t>
  </si>
  <si>
    <t>FECHA OTORGAN PREMIO</t>
  </si>
  <si>
    <t>TOTAL PUNTOS PREMIOS</t>
  </si>
  <si>
    <t>IDENTIFICACIÓN DEL AUTOR</t>
  </si>
  <si>
    <t>Tipo de producto</t>
  </si>
  <si>
    <t>Tipo de patente</t>
  </si>
  <si>
    <t>Nombre del producto</t>
  </si>
  <si>
    <t>Número de registro de la patente</t>
  </si>
  <si>
    <t>Fecha de aprobación de la patente</t>
  </si>
  <si>
    <t>Vigencia en años del producto</t>
  </si>
  <si>
    <t>Banco de patentes o entidad que expide el registro</t>
  </si>
  <si>
    <t>HERNANDO CORREA GALLEGO</t>
  </si>
  <si>
    <t>Instituto Interdisciplinario de las Ciencias</t>
  </si>
  <si>
    <t>Patente de Invención</t>
  </si>
  <si>
    <t>De producto</t>
  </si>
  <si>
    <t>PROCESO DE FABRICACIÓN DE UNA PELÍCULA DE AISLAMIENTO ELÉCTRONICO BASADA EN ÓXIDOS DE COBRE PARA RECUBRIMIENTOS DE COBRE</t>
  </si>
  <si>
    <t>18 de marzo de 2022</t>
  </si>
  <si>
    <t>20 años</t>
  </si>
  <si>
    <t>Superintendencia de Industria y Comercio.</t>
  </si>
  <si>
    <t>3- 30/03/2023</t>
  </si>
  <si>
    <t>LILIANA DEL SOCORRO TIRADO MEJÍA</t>
  </si>
  <si>
    <t>TOTAL PUNTOS PATENTES</t>
  </si>
  <si>
    <t>NOMBRE DE LA OBRA ARTÍSTICA</t>
  </si>
  <si>
    <t>RECONOCIMIENTO SOLICITADO</t>
  </si>
  <si>
    <t>FECHA DE CREACIÓN DE LA OBRA / FECHA DE EXPOSICIÓN</t>
  </si>
  <si>
    <t>TÉCNICA UTILIZADA</t>
  </si>
  <si>
    <t>Creación original individual</t>
  </si>
  <si>
    <t>Fotografía Dimensional</t>
  </si>
  <si>
    <t>JORGE EDUARDO URREA GIRALDO</t>
  </si>
  <si>
    <t>TOTAL PUNTOS OBRA ARTISTICA</t>
  </si>
  <si>
    <t>DOCUMENTO DE IDENTIDAD</t>
  </si>
  <si>
    <t>ESCOLARIDAD ANTERIOR</t>
  </si>
  <si>
    <t>UNIVERSIDAD QUE OTORGA EL TÍTULO</t>
  </si>
  <si>
    <t>TITULO OTORGADO</t>
  </si>
  <si>
    <t>Acto de Convalidación
(Para títulos Univ.del Ext.)</t>
  </si>
  <si>
    <t>FECHA GRADUACIÓN</t>
  </si>
  <si>
    <t>TOTAL PUNTOS TÍTULOS</t>
  </si>
  <si>
    <t xml:space="preserve">FECHA DE PUBLICACIÓN </t>
  </si>
  <si>
    <t xml:space="preserve">Res.No.13590
Ref. Expediente No. NC2019/0005187 </t>
  </si>
  <si>
    <t>ACTA Y FECHA CIARP</t>
  </si>
  <si>
    <t>NOMBRE DE LA PROUCCIÓN TÉCNICA</t>
  </si>
  <si>
    <t>TIPO DE 
PRODUCCIÓN</t>
  </si>
  <si>
    <t>AÑO DE
PUBLICACIÓN</t>
  </si>
  <si>
    <t>UNIVERSIDADES
PARTICIPANTES</t>
  </si>
  <si>
    <t>PUNTAJE ASIGNADO/
AUTOR</t>
  </si>
  <si>
    <t>Adaptación Tecnológica</t>
  </si>
  <si>
    <t>CARLOS ANDRÉS CÁRDENAS VALENCIA</t>
  </si>
  <si>
    <t>PABLO ANDRÉS MUÑOZ GUTIÉRREZ</t>
  </si>
  <si>
    <t>DIEGO FERNANDO RAMÍREZ JIMÉNEZ</t>
  </si>
  <si>
    <t>TOTAL PUNTOS PRODUCCIÓN TÉCNICA</t>
  </si>
  <si>
    <t>Identificación 
Libro/tomo/partida</t>
  </si>
  <si>
    <t>NOMBRE DEL SOFTWARE</t>
  </si>
  <si>
    <t>AÑO DE 
PUBLICACIÓN</t>
  </si>
  <si>
    <t>Documento de Identidad
Autor-Docente</t>
  </si>
  <si>
    <t>PUNTAJE EVALUADORES</t>
  </si>
  <si>
    <t>PUNTAJE ASIGNADO/AUTOR (Escala 0 a 15)</t>
  </si>
  <si>
    <t>13-101-333</t>
  </si>
  <si>
    <t>MMTOOL</t>
  </si>
  <si>
    <t xml:space="preserve"> WILLIAM JOSEPH GIRALDO OROZCO</t>
  </si>
  <si>
    <t>Ingeniería de Sistemas y
Computación</t>
  </si>
  <si>
    <t xml:space="preserve">Universidad del Quindío </t>
  </si>
  <si>
    <t>7- 29/10/2025</t>
  </si>
  <si>
    <t>3 Autores
Software de producción científica con generación de conocimiento</t>
  </si>
  <si>
    <t xml:space="preserve"> MARÍA LILI VILLEGAS RAMÍREZ</t>
  </si>
  <si>
    <t>ALEXANDRA RUIZ GAONA</t>
  </si>
  <si>
    <t>TOTAL PUNTOS SOFTWARE</t>
  </si>
  <si>
    <t>________________________________</t>
  </si>
  <si>
    <t>978-628-7699-94-6</t>
  </si>
  <si>
    <t>Artículo "Concepciones de los profesores sobre la enseñanza del uso sostenible del agua en educación media. El Paujil Caquetá, Amazonia Colombiana", Categoría B.
Los puntos se pagarán a la docente Ligia Janneth Molina R. al término de la comisión académica-administrativa como decana de la Facultad de Ciencias de la Educación.</t>
  </si>
  <si>
    <r>
      <rPr>
        <sz val="9"/>
        <color theme="6" tint="-0.499984740745262"/>
        <rFont val="Arial"/>
        <family val="2"/>
      </rPr>
      <t>Eval.1= 4,1
Eval.2= 4,37</t>
    </r>
    <r>
      <rPr>
        <b/>
        <sz val="9"/>
        <color theme="6" tint="-0.499984740745262"/>
        <rFont val="Arial"/>
        <family val="2"/>
      </rPr>
      <t xml:space="preserve">
</t>
    </r>
    <r>
      <rPr>
        <b/>
        <u/>
        <sz val="9"/>
        <color theme="6" tint="-0.499984740745262"/>
        <rFont val="Arial"/>
        <family val="2"/>
      </rPr>
      <t>X=4,235*3 = 12,705</t>
    </r>
    <r>
      <rPr>
        <b/>
        <sz val="9"/>
        <color theme="6" tint="-0.499984740745262"/>
        <rFont val="Arial"/>
        <family val="2"/>
      </rPr>
      <t xml:space="preserve">
</t>
    </r>
    <r>
      <rPr>
        <b/>
        <u/>
        <sz val="9"/>
        <color theme="6" tint="-0.499984740745262"/>
        <rFont val="Arial"/>
        <family val="2"/>
      </rPr>
      <t>≈12,7</t>
    </r>
  </si>
  <si>
    <t>Nacional</t>
  </si>
  <si>
    <t>Colombia</t>
  </si>
  <si>
    <t>Nacional de rotación internacional</t>
  </si>
  <si>
    <t>CRISTIAN CAMILO REYES GALEANO</t>
  </si>
  <si>
    <t>Licenciatura en Lenguas Modernas con énfasis en Inglés y Francés</t>
  </si>
  <si>
    <t>C</t>
  </si>
  <si>
    <t>N/A</t>
  </si>
  <si>
    <t>BERLY ROMAN VALENCIA</t>
  </si>
  <si>
    <t>OFICINA DE ASUNTOS PROFESORALES</t>
  </si>
  <si>
    <t>INFORME EXPERIENCIA CALIFICADA DOCENTES DE CARRERA - 2025</t>
  </si>
  <si>
    <t>DOC. DE IDENTIFICACIÓN</t>
  </si>
  <si>
    <t>NOMBRE</t>
  </si>
  <si>
    <t>FECHA DE INGRESO</t>
  </si>
  <si>
    <t>NIVEL DE FORMACIÓN</t>
  </si>
  <si>
    <t>RESULTADO EVALUACIÓN DOCENTE</t>
  </si>
  <si>
    <t>FECHA DE LA ULTIMA EVALUACIÓN</t>
  </si>
  <si>
    <t>PUNTOS POR EXPERIENCIA CALIFICADA</t>
  </si>
  <si>
    <t>ESTADO</t>
  </si>
  <si>
    <t>II/2020</t>
  </si>
  <si>
    <t>Activo</t>
  </si>
  <si>
    <t>Comision de estudios aprobada en sesión del Consejo Superior, resolución No. 117 del 19 de agosto de 2022 . Del 27 de enero de 2023 hasta 26 de enero de 2027.</t>
  </si>
  <si>
    <t>II/2023</t>
  </si>
  <si>
    <t>II/2025</t>
  </si>
  <si>
    <t>Inició comisión académico-admon el 01/06/2023 como Directora del Programa de Administración de Negocios, terminó comisión el 20/06/2025</t>
  </si>
  <si>
    <t xml:space="preserve">GUZMAN DIAZ BEATRIZ ELENA  </t>
  </si>
  <si>
    <t>I/2024</t>
  </si>
  <si>
    <t>I/2023</t>
  </si>
  <si>
    <t xml:space="preserve">PARRA HERNANDEZ RAMIRO </t>
  </si>
  <si>
    <t xml:space="preserve">TORRES QUINTERO LAURA LICETH </t>
  </si>
  <si>
    <t xml:space="preserve">ARRUBLA FRANCO MARIBETH </t>
  </si>
  <si>
    <t>Academico-Administrativo</t>
  </si>
  <si>
    <t xml:space="preserve">HOYOS WALTEROS HERNAN </t>
  </si>
  <si>
    <t xml:space="preserve">ROMÁN VALENCIA BERLY </t>
  </si>
  <si>
    <t xml:space="preserve">CASTAÑEDA PATIÑO JUAN CARLOS </t>
  </si>
  <si>
    <t>II/2024</t>
  </si>
  <si>
    <t xml:space="preserve">GUTIERREZ  MORENO MILDRED EUGENIA </t>
  </si>
  <si>
    <t xml:space="preserve">MARTÍNEZ PLAZAS MARIO ANDRÉS </t>
  </si>
  <si>
    <t>I/2025</t>
  </si>
  <si>
    <t xml:space="preserve">AGUIRRE OBANDO OSCAR ALEXANDER </t>
  </si>
  <si>
    <t xml:space="preserve">GARCÍA CARDENAS DELLY ROCIO </t>
  </si>
  <si>
    <t xml:space="preserve">GARCÍA MERCHÁN VICTOR HUGO </t>
  </si>
  <si>
    <t xml:space="preserve">GIRALDO GARCÍA ALEJANDRA MARÍA </t>
  </si>
  <si>
    <t>Inició comisión académico-admon el 02/05/2023 como Vicerrectora de Extensión y Desarrollo Social</t>
  </si>
  <si>
    <t xml:space="preserve">GÓMEZ MARÍN GERMÁN DARÍO </t>
  </si>
  <si>
    <t xml:space="preserve">LORA SUÁREZ FABIANA MARÍA </t>
  </si>
  <si>
    <t xml:space="preserve">ROMÁN VALENCIA CÉSAR </t>
  </si>
  <si>
    <t xml:space="preserve">SEPÚLVEDA NIETO MARÍA DEL PILAR </t>
  </si>
  <si>
    <t xml:space="preserve">Ciencia de la Información y Documentación, Bibliotecología y Archivística </t>
  </si>
  <si>
    <t xml:space="preserve">CASTRO BENAVIDES LINA MARÍA </t>
  </si>
  <si>
    <t xml:space="preserve">RAMÍREZ AGUDELO ANGÉLICA MARÍA </t>
  </si>
  <si>
    <t xml:space="preserve">DÍAZ ARENAS PEDRO FELIPE </t>
  </si>
  <si>
    <t xml:space="preserve">GIRALDO MARÍN LUCERO </t>
  </si>
  <si>
    <t>II/2021</t>
  </si>
  <si>
    <t>Docente año sabático inicia 20/01/2025 y finaliza 19/01/2026</t>
  </si>
  <si>
    <t xml:space="preserve">GRANADOS MORENO WILSON HORACIO </t>
  </si>
  <si>
    <t xml:space="preserve">LEAL LARRARTE SANDRA ADRIANA </t>
  </si>
  <si>
    <t xml:space="preserve">LOZANO BOTACHE JORGE PRUDENCIO </t>
  </si>
  <si>
    <t>I/2022</t>
  </si>
  <si>
    <t xml:space="preserve">MEJÍA ESCOBAR BIBIANA MAGALY </t>
  </si>
  <si>
    <t>II/2022</t>
  </si>
  <si>
    <t xml:space="preserve">URREA GIRALDO JORGE EDUARDO </t>
  </si>
  <si>
    <t xml:space="preserve">VEJARANO BOLÍVAR RICARDO ALONSO </t>
  </si>
  <si>
    <t xml:space="preserve">ARANGO MEDINA DEICY </t>
  </si>
  <si>
    <t xml:space="preserve">BOTERO VILLA JUAN JOSÉ </t>
  </si>
  <si>
    <t xml:space="preserve">CABAL CRUZ CLAUDIA CONSTANZA </t>
  </si>
  <si>
    <t xml:space="preserve">CEBALLOS RINCÓN OLGA INÉS </t>
  </si>
  <si>
    <t xml:space="preserve">DíAZ CRUZ MARIA CONSTANZA </t>
  </si>
  <si>
    <t xml:space="preserve">DONNEYS BELTRAN OMAR ALBERTO </t>
  </si>
  <si>
    <t>FAJARDO CALDERON CONSTANZA LORETH</t>
  </si>
  <si>
    <t xml:space="preserve">GIRALDO DE ROJAS MARTHA CECILIA </t>
  </si>
  <si>
    <t>Inició comisión académico-admon el 01/06/2023 como Directora del Programa de Contaduría Pública, terminó comisión el 20/06/2025</t>
  </si>
  <si>
    <t xml:space="preserve">LÓPEZ CASTAÑEDA LINA MARÍA </t>
  </si>
  <si>
    <t xml:space="preserve">MEJÍA CASTELLANOS LUZ AMPARO </t>
  </si>
  <si>
    <t xml:space="preserve">MEJÍA SOTO EUTIMIO </t>
  </si>
  <si>
    <t xml:space="preserve">RAMÍREZ LOZANO JAMES </t>
  </si>
  <si>
    <t xml:space="preserve">RAMÍREZ OSORIO JORGE HUMBERTO </t>
  </si>
  <si>
    <t xml:space="preserve">ROMERO RESTREPO MIRIAM </t>
  </si>
  <si>
    <t xml:space="preserve">SIERRA PRIETO REINALDO </t>
  </si>
  <si>
    <t>Inició comisión académico-admon el 01/06/2023 como Decano de la Facultad de Ciencias Economicas</t>
  </si>
  <si>
    <t xml:space="preserve">TARAPUÉZ CHAMORRO EDWIN IGNACIO </t>
  </si>
  <si>
    <t xml:space="preserve">VÉLEZ RAMÍREZ RUBÉN ANTONIO </t>
  </si>
  <si>
    <t>ARISTIZABAL TORO ANDRÉS FELIPE</t>
  </si>
  <si>
    <t xml:space="preserve">CASTRO DÍAZ ALEXANDER </t>
  </si>
  <si>
    <t xml:space="preserve">CORREA VALENCIA CARLOS IVÁN </t>
  </si>
  <si>
    <t xml:space="preserve">FLOREZ LAISECA ADRIANA MARÍA </t>
  </si>
  <si>
    <t xml:space="preserve">RESTREPO PATIÑO MEDARDO DE JESÚS </t>
  </si>
  <si>
    <t xml:space="preserve">TRUJILLO OSORIO CATALINA </t>
  </si>
  <si>
    <t xml:space="preserve">CORREA SUÁREZ GLORIA MARCELA </t>
  </si>
  <si>
    <t xml:space="preserve">CORTÉS GALLEGO MÓNICA MARÍA </t>
  </si>
  <si>
    <t xml:space="preserve">ESCOBAR ESCOBAR MARIA BEATRIZ </t>
  </si>
  <si>
    <t xml:space="preserve">FERNÁNDEZ RINCÓN CARMEN AYDÉ </t>
  </si>
  <si>
    <t xml:space="preserve">HENAO BURITICÁ ADIELA </t>
  </si>
  <si>
    <t xml:space="preserve">LONDOÑO BURITICÁ DIANA PATRICIA </t>
  </si>
  <si>
    <t>Comision de estudios Aprobada en sesión del Consejo Superior, resolución No. 126 del 23 de marzo de 2023. Del 23 de febrero de 2023 hasta 22 de febrero de 2027.</t>
  </si>
  <si>
    <t xml:space="preserve">MONDRAGÓN SÁNCHEZ EDNA JOHANA  </t>
  </si>
  <si>
    <t xml:space="preserve">PÉREZ SAAVEDRA ANA PATRICIA </t>
  </si>
  <si>
    <t>Comision de estudios Aprobada en sesión del Consejo Superior, resolución No.117 del 19 de agosto de 2022 . Del 27 de enero de 2023 hasta 26 de enero de 2027.</t>
  </si>
  <si>
    <t xml:space="preserve">MOLINA ZAPATA JORGE ELIECER </t>
  </si>
  <si>
    <t xml:space="preserve">OCAMPO SEPÚLVEDA GABRIEL </t>
  </si>
  <si>
    <t xml:space="preserve">POSADA RAMÍREZ JORGE GREGORIO </t>
  </si>
  <si>
    <t xml:space="preserve">SANCHEZ JOSÉ REINEL </t>
  </si>
  <si>
    <t xml:space="preserve">VÉLEZ YSIS </t>
  </si>
  <si>
    <t xml:space="preserve">Activo </t>
  </si>
  <si>
    <t>Comisión de estudios aprobada en sesión del Consejo Superior, resolución No.138 del 23 de noviembre de 2023. Del 15 de febrero de 2024 hasta 14 de agosto de 2026.</t>
  </si>
  <si>
    <t xml:space="preserve">BASTO GONZÁLEZ VÍCTOR SAUL </t>
  </si>
  <si>
    <t xml:space="preserve">CARMONA TABARES PAULO CESAR </t>
  </si>
  <si>
    <t xml:space="preserve">CASTILLO CHAMORRO JOSE HUMBERTO </t>
  </si>
  <si>
    <t xml:space="preserve">GÓMEZ GONZÁLEZ EDGAR ARTURO </t>
  </si>
  <si>
    <t>HOYOS RINCÓN ISABEL CRISTINA</t>
  </si>
  <si>
    <t xml:space="preserve">MOSQUERA MOSQUERA JULIO CÉSAR </t>
  </si>
  <si>
    <t xml:space="preserve">GIRALDO ZULUAGA GLORIA AMPARO </t>
  </si>
  <si>
    <t xml:space="preserve">GÓMEZ SANTOS CÉSAR AUGUSTO </t>
  </si>
  <si>
    <t xml:space="preserve">LÓPEZ CARDOZO LILIA INÉS </t>
  </si>
  <si>
    <t xml:space="preserve">ARBOLEDA AUDRITO CARLOS JULIO </t>
  </si>
  <si>
    <t xml:space="preserve">CASTRO BENAVIDES ALBA LUCÍA </t>
  </si>
  <si>
    <t xml:space="preserve">CUARTAS VARÓN LUISA FERNANDA </t>
  </si>
  <si>
    <t>GARCÍA LEAL JUAN CARLOS</t>
  </si>
  <si>
    <t xml:space="preserve">GARCÍA OCAMPO CARLOS ARTURO  </t>
  </si>
  <si>
    <t xml:space="preserve">GARCÍA REINOSO PEDRO LEÓN </t>
  </si>
  <si>
    <t xml:space="preserve">GUZMÁN MELENDEZ MARIA ROSA </t>
  </si>
  <si>
    <t xml:space="preserve">LOZANO SANDOVAL GABRIEL </t>
  </si>
  <si>
    <t xml:space="preserve">MONSALVE DURANGO ELKIN ANIBAL </t>
  </si>
  <si>
    <t>Comision de estudios Aprobada en sesión del Consejo Superior, resolución No. 113 del 14 de junio de 2022. Del 13/07/2022 hasta 30/06/2023. Se prorroga comisión del 01/01/2024 al 12/07/2025, del 13/07/2025 al 12/01/2026 y del 13/01/2026 al 12/07/2026.</t>
  </si>
  <si>
    <t xml:space="preserve">POLANIA OBANDO LUIS FERNANDO </t>
  </si>
  <si>
    <t xml:space="preserve">SALAZAR SALAZAR ORLANDO </t>
  </si>
  <si>
    <t xml:space="preserve">VALENCIA MENA WILLIAM </t>
  </si>
  <si>
    <t xml:space="preserve">VALENZUELA BOTERO CAROLINA </t>
  </si>
  <si>
    <t xml:space="preserve">AGUDELO LAVERDE LINA MARCELA </t>
  </si>
  <si>
    <t>Post-Doctorado</t>
  </si>
  <si>
    <t xml:space="preserve">LUCAS AGUIRRE JUAN CARLOS </t>
  </si>
  <si>
    <t>MARÍN ARANGO ZAIRA TATIANA DEL PILAR</t>
  </si>
  <si>
    <t>PINZÓN FANDINO MAGDA IVONNE</t>
  </si>
  <si>
    <t xml:space="preserve">Ingeniería de Sistemas y Computación </t>
  </si>
  <si>
    <t xml:space="preserve">CANDELA URIBE CHIRISTIAN ANDRÉS </t>
  </si>
  <si>
    <t xml:space="preserve">CARDONA TORRES SERGIO AUGUSTO </t>
  </si>
  <si>
    <t xml:space="preserve">CASTRO ROJAS LUIS FERNANDO </t>
  </si>
  <si>
    <t xml:space="preserve">ESPITIA PEÑA ESPERANZA </t>
  </si>
  <si>
    <t xml:space="preserve">GIRALDO OROZCO WILLIAM JOSEP </t>
  </si>
  <si>
    <t xml:space="preserve">GIRALDO VELÁSQUEZ FABER DANILO </t>
  </si>
  <si>
    <t xml:space="preserve">GÓMEZ MONTOYA CARLOS EDUARDO </t>
  </si>
  <si>
    <t xml:space="preserve">GUTIÉRREZ POSADA JULIAN ESTEBAN </t>
  </si>
  <si>
    <t xml:space="preserve">HERRERA MORALES JORGE ORLANDO </t>
  </si>
  <si>
    <t xml:space="preserve">PULGARÍN GIRALDO ROBINSON </t>
  </si>
  <si>
    <t>Inició comisión académico-admon el 01/06/2023 como Director del Programa de Ingeniería de Sistemas</t>
  </si>
  <si>
    <t xml:space="preserve">PULGARÍN GIRALDO WILLIAM </t>
  </si>
  <si>
    <t xml:space="preserve">ROMERO CUERO EDWIN </t>
  </si>
  <si>
    <t xml:space="preserve">RUIZ GAONA ALEXANDRA </t>
  </si>
  <si>
    <t xml:space="preserve">SEPÚLVEDA RODRÍGUEZ LUIS EDUARDO </t>
  </si>
  <si>
    <t xml:space="preserve">VILLEGAS RAMÍREZ MARÍA LILI </t>
  </si>
  <si>
    <t xml:space="preserve">ALDANA GUTIÉRREZ JORGE ALEJANDRO </t>
  </si>
  <si>
    <t xml:space="preserve">ASTAIZA HOYOS EVELIO </t>
  </si>
  <si>
    <t xml:space="preserve">BERMÚDEZ OROZCO HECTOR FABIO </t>
  </si>
  <si>
    <t xml:space="preserve">CARDONA ARISTIZABAL JAIBER EVELIO </t>
  </si>
  <si>
    <t xml:space="preserve">IBARGUEN OCAMPO FRANCISCO JAVIER </t>
  </si>
  <si>
    <t xml:space="preserve">JARAMILLO PATIÑO DIEGO FERNANDO </t>
  </si>
  <si>
    <t xml:space="preserve">JIMÉNEZ TRUJILLO WILMER DIEGO </t>
  </si>
  <si>
    <t xml:space="preserve">LÓPEZ PARRADO ALEXANDER </t>
  </si>
  <si>
    <t xml:space="preserve">MARIN HURTADO JORGE IVÁN  </t>
  </si>
  <si>
    <t>NAVARRO PÉREZ ALVARO ANDRÉS</t>
  </si>
  <si>
    <t>Comision de estudios Aprobada en sesión del Consejo Superior, resolución No. 117 del 19 de agosto de 2022. Del 20/02/2023 hasta 09/02/2027</t>
  </si>
  <si>
    <t xml:space="preserve">VERA TASAMA ALEXANDER </t>
  </si>
  <si>
    <t xml:space="preserve">Ingeniería Topográfica y Geomática </t>
  </si>
  <si>
    <t xml:space="preserve">DUQUE ARANGO JHON JAIRO  </t>
  </si>
  <si>
    <t xml:space="preserve">GARZÓN BARRERO JULIÁN </t>
  </si>
  <si>
    <t xml:space="preserve">JIMENEZ CLEVES GONZALO </t>
  </si>
  <si>
    <t xml:space="preserve">VILA ORTEGA JOSE JOAQUIN </t>
  </si>
  <si>
    <t xml:space="preserve">VILLALOBOS NIETO GUSTAVO </t>
  </si>
  <si>
    <t>Instituto Interdisciplinario de la Ciencia</t>
  </si>
  <si>
    <t xml:space="preserve">TIRADO MEJIA LILIANA DEL SOCORRO </t>
  </si>
  <si>
    <t>BUSTAMANTE TORO CÉSAR AUGUSTO</t>
  </si>
  <si>
    <t xml:space="preserve">CARDONA OLARTE PEDRO PABLO </t>
  </si>
  <si>
    <t xml:space="preserve">CHACÓN RAMÍREZ CARLOS ALBERTO </t>
  </si>
  <si>
    <t xml:space="preserve">MOLANO NIÑO ALBA CAROLINA </t>
  </si>
  <si>
    <t xml:space="preserve">MOLINA RICO LIGIA JANNETH </t>
  </si>
  <si>
    <t>Inició comisión académico-admon el 01/06/2023 como Decana de la Facultad de Ciencias de la Educación</t>
  </si>
  <si>
    <t xml:space="preserve">SALAZAR SALAZAR MARLENY  </t>
  </si>
  <si>
    <t>SUAREZ ROMÁN ROCIO STELLA</t>
  </si>
  <si>
    <t xml:space="preserve">AYALA ZULUAGA JOSE ENVER </t>
  </si>
  <si>
    <t xml:space="preserve">CARDONA PATIÑO JHOJAN </t>
  </si>
  <si>
    <t xml:space="preserve">SÁNCHEZ MUÑOZ JUAN CARLOS  </t>
  </si>
  <si>
    <t>Inició comisión académico-admon el 24/07/2023 como Director del Programa de Lic. En Educación Física, terminó comisión el 20/06/2025</t>
  </si>
  <si>
    <t xml:space="preserve">SÁNCHEZ MUÑOZ OSCAR EDUARDO </t>
  </si>
  <si>
    <t xml:space="preserve">TABARES RAMÍREZ CARLOS ANDRÉS </t>
  </si>
  <si>
    <t>Licenciatura Educación Infantil</t>
  </si>
  <si>
    <t xml:space="preserve">BUSTAMANTE GUTIÉRREZ CARLOS ALFONSO </t>
  </si>
  <si>
    <t xml:space="preserve">JIMÉNEZ ROJAS ANGELA MARÍA </t>
  </si>
  <si>
    <t xml:space="preserve">MARIN RIOS LUIS FERNANDO </t>
  </si>
  <si>
    <t xml:space="preserve">MORALES OSORIO CARLOS ALVEIRO </t>
  </si>
  <si>
    <t xml:space="preserve">SALAZAR ARBELÁEZ CARMEN ALICIA </t>
  </si>
  <si>
    <t>Licenciatura en Lenguas Modernas con  Énfasis en Inglés y Francés</t>
  </si>
  <si>
    <t xml:space="preserve">CALDERÓN BENAVIDES JHON JAIRO </t>
  </si>
  <si>
    <t>Comisión de estudios aprobada en sesión del Consejo Superior, resolución No.137 del 23 de noviembre de 2023. Del 28 de febrero de 2024 hasta 27 de agosto de 2026.</t>
  </si>
  <si>
    <t xml:space="preserve">HERNÁNDEZ MOLINA MAGDA YAZMÍN </t>
  </si>
  <si>
    <t xml:space="preserve">HERRERA PINEDA JORGE HERNÁN </t>
  </si>
  <si>
    <t>MONTOYA GOMEZ OSCAR HERNÁN</t>
  </si>
  <si>
    <t xml:space="preserve">MORENO SERNA LINA MARÍA </t>
  </si>
  <si>
    <t xml:space="preserve">REYES GALEANO CRISTIAN CAMILO </t>
  </si>
  <si>
    <t xml:space="preserve">SERNA RESTREPO JHON ALEXANDER </t>
  </si>
  <si>
    <t xml:space="preserve">VALENCIA CASTRILLÓN MARTHA LUZ </t>
  </si>
  <si>
    <t xml:space="preserve">VELA SAAVEDRA JHONATAN </t>
  </si>
  <si>
    <t>Licenciatura en Literatura y 
Lengua Castellana</t>
  </si>
  <si>
    <t xml:space="preserve">CANO BETANCUR ÁLVARO EDUARDO </t>
  </si>
  <si>
    <t xml:space="preserve">CARO LOPERA MIGUEL ÁNGEL </t>
  </si>
  <si>
    <t xml:space="preserve">RODRÍGUEZ LEÓN DANIEL MAURICIO </t>
  </si>
  <si>
    <t xml:space="preserve">VALENCIA LEGUIZAMÓN LINA MARIANA </t>
  </si>
  <si>
    <t xml:space="preserve">ZAMBRANO VALENCIA JUAN DAVID </t>
  </si>
  <si>
    <t>Licenciatura en Matemática</t>
  </si>
  <si>
    <t>ACOSTA MINOLI CÉSAR AUGUSTO</t>
  </si>
  <si>
    <t xml:space="preserve">ALDANA BERMÚDEZ ELIECER </t>
  </si>
  <si>
    <t xml:space="preserve">ÁLVAREZ MEJIA DARÍO </t>
  </si>
  <si>
    <t xml:space="preserve">CARMONA SUAREZ EDGAR JAVIER </t>
  </si>
  <si>
    <t>Inició comisión académico-admon el 16/10/2024 como Director del Programa de Lic. En Matemáticas, terminó comisión el 19/12/2025</t>
  </si>
  <si>
    <t>GARCÍA GONZÁLEZ MARIA DOLLY</t>
  </si>
  <si>
    <t xml:space="preserve">GARCÍA USUGA JORGE MARIO </t>
  </si>
  <si>
    <t xml:space="preserve">GUTIÉRREZ ZULUAGA HEILLER </t>
  </si>
  <si>
    <t xml:space="preserve">Comisión de estudios aprobada en sesión del Consejo Superior, resolución No. 117 del 19 de agosto de 2022. Del 19/08/2022 hasta 18/02/2025. Se prorrogó la comisión de estudios por 12 meses, mediante Resolución del Consejo Superior No.161 del 17 de diciembre del 2024. Del 19/02/2025 hasta 18/02/2026.  </t>
  </si>
  <si>
    <t>MÉNDEZ PARRA ROSA MARÍA</t>
  </si>
  <si>
    <t xml:space="preserve">SALCEDO ECHEVERRY GLADYS ELENA </t>
  </si>
  <si>
    <t>Medicina - M.T.</t>
  </si>
  <si>
    <t>BERRÍO MUÑOZ JOAQUÍN ELIER</t>
  </si>
  <si>
    <t xml:space="preserve">Medicina </t>
  </si>
  <si>
    <t>COLONIA GUTIÉRREZ OSCAR ALBERTO</t>
  </si>
  <si>
    <t>DUQUE VALENCIA JORGE LUIS</t>
  </si>
  <si>
    <t>GAVIRIA RINCÓN GERMÁN</t>
  </si>
  <si>
    <t>GÓMEZ MARÍN JORGE ENRIQUE</t>
  </si>
  <si>
    <t>GONZÁLEZ DE S. MARIA MERCEDES</t>
  </si>
  <si>
    <t>Inició comisión académico-admon el 01/06/2023 como Decana de la Facultad de Ciencias de la Salud</t>
  </si>
  <si>
    <t>LANDÁZURI PATRICIA</t>
  </si>
  <si>
    <t>MURILLO WILLS HÉCTOR</t>
  </si>
  <si>
    <t>4,63</t>
  </si>
  <si>
    <t xml:space="preserve">OROZCO GONZÁLEZ  RICHARD JAMES </t>
  </si>
  <si>
    <t>CUENU CABEZAS FERNANDO</t>
  </si>
  <si>
    <t>MONTOYA  LÓPEZ JAIRO</t>
  </si>
  <si>
    <t>RIOS VASQUEZ EUNICE</t>
  </si>
  <si>
    <t>Comision de estudios Aprobada en sesión del Consejo Superior, resolución No. 117 del 19 de agosto de 2022. Del 01/09/2022 hasta 31/08/2026.</t>
  </si>
  <si>
    <t>GOMEZ YEPES MILENA ELIZABETH</t>
  </si>
  <si>
    <t>RENDON GARCIA OLGA LUCIA</t>
  </si>
  <si>
    <t>GARCÍA ARIAS RAMIRO</t>
  </si>
  <si>
    <t>MUÑOZ GUTIERREZ PABLO ANDRES</t>
  </si>
  <si>
    <t>PADILLA BEJARANO JOSE BESTIER</t>
  </si>
  <si>
    <t>II/2013</t>
  </si>
  <si>
    <t>CASTRO BENAVIDES LUZ ADRIANA</t>
  </si>
  <si>
    <t>CARDONA HERNÁNDEZ LEIDY CAROLINA</t>
  </si>
  <si>
    <t>MARTÍNEZ GONZÁLEZ LINA MARÍA</t>
  </si>
  <si>
    <t>PARDO SANTAMARÍA RUBEN DARÍO</t>
  </si>
  <si>
    <t xml:space="preserve">QUINTANA URREA LEONARDO IVAN </t>
  </si>
  <si>
    <t>SUAREZ ARIAS ALBA LEONILDE</t>
  </si>
  <si>
    <t xml:space="preserve">VILLA RAMÍREZ RIGOBERTO </t>
  </si>
  <si>
    <t>Cargo Academico-Administrativo</t>
  </si>
  <si>
    <t>La información de los cargos académico administrativos fue suministrada por la Dirección de Gestión Humana a través del Memorando General No.2026-IM-1041 del 29 de enero de 2026.</t>
  </si>
  <si>
    <t xml:space="preserve">Comisión Estudios </t>
  </si>
  <si>
    <t>La información de los docentes en comisión de estudio fue suministrada por la Vicerrectoría Académica a través del Memorando General No.2026-IM749 del 26 de enero de 2026.</t>
  </si>
  <si>
    <t>Año Sabático</t>
  </si>
  <si>
    <t>La información de los docentes en año sabático fue suministrada por la Vicerrectoría Académica a través del Memorando General No.2025-IM-1709 del 14 de febrero de 2025 y No.2026-IM749 del 26 de enero de 2026.</t>
  </si>
  <si>
    <r>
      <rPr>
        <b/>
        <sz val="10"/>
        <color theme="1"/>
        <rFont val="Arial Narrow"/>
        <family val="2"/>
      </rPr>
      <t>Nota</t>
    </r>
    <r>
      <rPr>
        <sz val="10"/>
        <color theme="1"/>
        <rFont val="Arial Narrow"/>
        <family val="2"/>
      </rPr>
      <t>: El reconocimiento de puntos por experiencia calificada se realizó con base en lo dispuesto en el numeral II, artículo 18 del Decreto 1279 de 2002 y en el numeral 6, artículo tercero del A.C.S No.012 de 2009.</t>
    </r>
  </si>
  <si>
    <t>_____________________________________</t>
  </si>
  <si>
    <t xml:space="preserve">OFICINA DE ASUNTOS PROFESORALES </t>
  </si>
  <si>
    <t>DESEMPEÑO DESTACADO - DOCENTES DE CARRERA CATEGORÍA AUXILIAR - 2025</t>
  </si>
  <si>
    <t>PUNTOS POR DESEMPEÑO DESTACADO</t>
  </si>
  <si>
    <t>CIERRE 4,68</t>
  </si>
  <si>
    <r>
      <rPr>
        <b/>
        <sz val="10"/>
        <color theme="1"/>
        <rFont val="Arial Narrow"/>
        <family val="2"/>
      </rPr>
      <t>Nota</t>
    </r>
    <r>
      <rPr>
        <sz val="10"/>
        <color theme="1"/>
        <rFont val="Arial Narrow"/>
        <family val="2"/>
      </rPr>
      <t>: El reconocimiento de los puntos por desempeño destacado docente en la categoría Auxiliar, se realizó con base en lo dispuesto en el Decreto 1279 de 2002, artículo 18, numeral I y en el A.C.S No.012 de 2009, artículo tercero.</t>
    </r>
  </si>
  <si>
    <t>DESEMPEÑO DESTACADO - DOCENTES DE CARRERA CATEGORÍA ASISTENTE - 2025</t>
  </si>
  <si>
    <t>Ascenso a categoría Asistente a partir del 22/04/2025 (DDD Auxliar 111/365*2= 0,6 y DDD Asistente 254/365*3= 2,1 → Total puntos=2,7)</t>
  </si>
  <si>
    <t>Ascenso a categoría Asistente a partir del 22/04/2025 (DDD Auxliar 321/365*2= 1,8 y DDD Asistente 44/365*3= 0,4 → Total puntos=2,2)</t>
  </si>
  <si>
    <t>CIERRE 4,92</t>
  </si>
  <si>
    <r>
      <rPr>
        <b/>
        <sz val="10"/>
        <color theme="1"/>
        <rFont val="Arial Narrow"/>
        <family val="2"/>
      </rPr>
      <t>Nota</t>
    </r>
    <r>
      <rPr>
        <sz val="10"/>
        <color theme="1"/>
        <rFont val="Arial Narrow"/>
        <family val="2"/>
      </rPr>
      <t>: El reconocimiento de los puntos por desempeño destacado docente en la categoría Asistente, se realizó con base en lo dispuesto en el Decreto 1279 de 2002, artículo 18, numeral I y en el A.C.S No.012 de 2009, artículo tercero.</t>
    </r>
  </si>
  <si>
    <t>______________________________</t>
  </si>
  <si>
    <t>DESEMPEÑO DESTACADO - DOCENTES DE CARRERA CATEGORÍA ASOCIADO - 2025</t>
  </si>
  <si>
    <t>Ascenso a categoría Asociado a partir del 30/01/2025 (DDD Asistente 29/365*3= 0,2 y DDD Asociado 336/365*4= 3,7 → Total puntos= 3,9)</t>
  </si>
  <si>
    <t>Ascenso a categoría Asociado a partir del 22/04/2025 (DDD Asistente 111/365*3= 0,9 y DDD Asociado 254/365*4= 2,8 → Total puntos= 3,7)</t>
  </si>
  <si>
    <t>Ascenso a categoría Asociado a partir del 18/11/2025 (DDD Asistente 321/365*3= 2,6 y DDD Asociado 44/365*4= 0,5 → Total puntos= 3,1)</t>
  </si>
  <si>
    <r>
      <rPr>
        <b/>
        <sz val="10"/>
        <color theme="1"/>
        <rFont val="Arial Narrow"/>
        <family val="2"/>
      </rPr>
      <t>Nota:</t>
    </r>
    <r>
      <rPr>
        <sz val="10"/>
        <color theme="1"/>
        <rFont val="Arial Narrow"/>
        <family val="2"/>
      </rPr>
      <t xml:space="preserve"> El reconocimiento de los puntos por desempeño destacado docente en la categoría Asociado, se realizó con base en lo dispuesto en el Decreto 1279 de 2002, artículo 18, numeral I y en el A.C.S No.012 de 2009, artículo tercero.</t>
    </r>
  </si>
  <si>
    <t>Jefe Oficina Asuntos Profesorales y Secretaria Ejectuiva CIARP</t>
  </si>
  <si>
    <t>DESEMPEÑO DESTACADO - DOCENTES DE CARRERA CATEGORÍA TITULAR - 2025</t>
  </si>
  <si>
    <t>Ascenso a categoría Titular a partir del 30/01/2025 (DDD Asociado 29/365*4= 0,3 y DDD Titular 336/365*5= 4,6 → Total puntos= 4,9)</t>
  </si>
  <si>
    <t>Ascenso a categoría Titular a partir del 18/11/2025 (DDD Asociado 321/365*4= 3,5 y DDD Titular 44/365*5= 0,6 → Total puntos= 4,1)</t>
  </si>
  <si>
    <t>Inició comisión académico-admon el 24/07/2023 como Director del Programa de Lic. En Educación Física, terminó comisión el 20/06/2025 (DAA 194/365*5= 2,65→ Total puntos= 2,7)</t>
  </si>
  <si>
    <t>CIERRE 4,90</t>
  </si>
  <si>
    <r>
      <rPr>
        <b/>
        <sz val="10"/>
        <color theme="1"/>
        <rFont val="Arial Narrow"/>
        <family val="2"/>
      </rPr>
      <t>Nota:</t>
    </r>
    <r>
      <rPr>
        <sz val="10"/>
        <color theme="1"/>
        <rFont val="Arial Narrow"/>
        <family val="2"/>
      </rPr>
      <t xml:space="preserve"> El reconocimiento de los puntos por desempeño destacado docente en la categoría Titular, se realizó con base en lo dispuesto en el Decreto 1279 de 2002, artículo 18, numeral I y en el A.C.S No.012 de 2009, artículo tercero.</t>
    </r>
  </si>
  <si>
    <t>DESEMPEÑO ACADÉMICO - ADMINISTRATIVO  2025</t>
  </si>
  <si>
    <t>PUNTOS POR DAA</t>
  </si>
  <si>
    <t>Inició comisión académico-admon el 07/05/2025 como Directora del Programa de Administración Financiera (DAA 239/365*2= 1,30→ Total puntos= 1,3)</t>
  </si>
  <si>
    <t>Cargo Académico Adtivo</t>
  </si>
  <si>
    <t>Inició comisión académico-admon el 01/06/2023 como Decana de la Facultad de Ciencias de la Salud (Calificación de DAA en el rango "Bueno" 6*80%= 4,8 puntos Art.4 A.C.S No. 012 de 2009)</t>
  </si>
  <si>
    <t>Inició comisión académico-admon el 01/06/2023 como Decano de la Facultad de Ciencias Humanas y Bellas Artes (Calificación de DAA en el rango "Bueno" 6*80%= 4,8 puntos Art.4 A.C.S No. 012 de 2009)</t>
  </si>
  <si>
    <t>Inició comisión académico-admon el 01/06/2023 como Directora del Programa de Administración de Negocios, terminó comisión el 20/06/2025 (DAA 171/365*2= 0,93→ Total puntos= 0,9)</t>
  </si>
  <si>
    <t>Inició comisión académico-admon el 01/06/2023 como Directora del Programa de Contaduría Pública, terminó comisión el 20/06/2025 (DAA 171/365*2= 0,93→ Total puntos= 0,9)</t>
  </si>
  <si>
    <t>Inició comisión académico-admon el 24/07/2023 como Director del Programa de Lic. En Educación Física, terminó comisión el 20/06/2025 (DAA 171/365*2= 0,93→ Total puntos= 0,9)</t>
  </si>
  <si>
    <t>Inició comisión académico-admon el 16/10/2024 como Director del Programa de Lic. En Matemáticas, terminó comisión el 19/12/2025 (DAA 353/365*2= 1,93→ Total puntos= 1,9)</t>
  </si>
  <si>
    <r>
      <rPr>
        <b/>
        <sz val="10"/>
        <color theme="1"/>
        <rFont val="Arial Narrow"/>
        <family val="2"/>
      </rPr>
      <t>Nota:</t>
    </r>
    <r>
      <rPr>
        <sz val="10"/>
        <color theme="1"/>
        <rFont val="Arial Narrow"/>
        <family val="2"/>
      </rPr>
      <t xml:space="preserve"> El reconocimiento de los puntos por actividades académico-administrativas se realizó con base en lo dispuesto en el Decreto 1279 de 2002, artículo 17 y en el A.C.S No.012 de 2009, artículo cuarto.</t>
    </r>
  </si>
  <si>
    <t>JORGE ORLANDO HERRERA MORALES</t>
  </si>
  <si>
    <t>El artículo fue publicado en el año 2026, no cumple con lo establecido en el numeral 2 del artículo segundo del A.C.S No.012. Cada profesor someterá a consideración los resultados de su producción académica concluida durante el año calendario inmediatamente anterior.</t>
  </si>
  <si>
    <t>RUBÉN ANTONIO VÉLEZ RAMÍREZ</t>
  </si>
  <si>
    <t>Universidad Nacional</t>
  </si>
  <si>
    <t>Universidad de Caldas</t>
  </si>
  <si>
    <t>MARGARITA ALEXANDRA BOTERO RESTREPO</t>
  </si>
  <si>
    <t>JACQUELINE GARCÍA BOTERO</t>
  </si>
  <si>
    <t>Asociación Colombiana de Ciencias Biológicas</t>
  </si>
  <si>
    <t>3 Autores
Se asignan 10 puntos a premio nacional, de acuerdo a la tabla aprobada por el CIARP en sesión 3 del 30/05/2025.</t>
  </si>
  <si>
    <t>Licenciatura en Educación Infantil</t>
  </si>
  <si>
    <t>Consorcio bacteriano para la degradación de compuestos azufrados y la mitigación de gases y olores ofensivos en aguas residuales</t>
  </si>
  <si>
    <t>Premio Nacional mejor trabajo presentado en poster</t>
  </si>
  <si>
    <t>Laura Natalia Gutierrez J.</t>
  </si>
  <si>
    <t>Universidad Alexander Von Humboldt</t>
  </si>
  <si>
    <t>EDWIN ROMERO CUERO</t>
  </si>
  <si>
    <t>ESPERANZA ESPITIA PEÑA</t>
  </si>
  <si>
    <t>JOSÉ JOAQUÍN VILA ORTEGA</t>
  </si>
  <si>
    <t>JORGE ALEJANDRO ALDANA GUTIERREZ</t>
  </si>
  <si>
    <t>DARÍO FERNANDO LONDOÑO PINILLA</t>
  </si>
  <si>
    <t>FABIANA MARÍA LORA SUAREZ</t>
  </si>
  <si>
    <t>JUAN MANUEL ACEVEDO CARVAJAL</t>
  </si>
  <si>
    <t>978-9942-566-13-3</t>
  </si>
  <si>
    <t>Constelaciones del delirio en la novela latinoamericana contemporánea</t>
  </si>
  <si>
    <t>Universidad Andina Simón Bolívar, Ecuador</t>
  </si>
  <si>
    <t>Licenciatura en Literatura y Lengua Castellana</t>
  </si>
  <si>
    <t>978-628-7783-94-2</t>
  </si>
  <si>
    <t>Comic y ciudad. Serie, investigación y creación</t>
  </si>
  <si>
    <t>SANDRA ADRIANA LEAL LARRARTE</t>
  </si>
  <si>
    <t>FABIANA MARÍA LORA SUÁREZ</t>
  </si>
  <si>
    <t>Nely Loango Chamorro</t>
  </si>
  <si>
    <t>Reconocer a la familia como sujeto democrático: aportes desde la formación en Trabajo Social</t>
  </si>
  <si>
    <t>Natalia Andrea Castrillón Agudelo</t>
  </si>
  <si>
    <t>Adrián Alejandro Bonilla Suárez</t>
  </si>
  <si>
    <t>Eleuthera</t>
  </si>
  <si>
    <t>2011-4532</t>
  </si>
  <si>
    <t>https://scienti.minciencias.gov.co/publindex/#/revistasPublindex/detalle?tipo=R&amp;idRevista=1055</t>
  </si>
  <si>
    <t>LINA MARÍA MARTÍNEZ GONZÁLEZ</t>
  </si>
  <si>
    <t>Teoría de variable aleatoria aplicado a la transición de fases del sistema
KI-AgI</t>
  </si>
  <si>
    <t>2463-0950</t>
  </si>
  <si>
    <t>Revista EIA</t>
  </si>
  <si>
    <t>https://scienti.minciencias.gov.co/publindex/#/revistasPublindex/detalle?tipo=R&amp;idRevista=599</t>
  </si>
  <si>
    <t>Universidad EIA</t>
  </si>
  <si>
    <t>Universidad del Valle</t>
  </si>
  <si>
    <t>Universidad Surcolombiana</t>
  </si>
  <si>
    <t>Diego Peña Lara</t>
  </si>
  <si>
    <t>Daniel Suescún Díaz</t>
  </si>
  <si>
    <t>Sorption - New Perspectives and Applications
Capítulo 4: Thermodynamic Properties of Moisture Sorption and Glass Transition of Coconut (Cocos Nucifera L.) Powder Fortified with Physiologically Active Components</t>
  </si>
  <si>
    <t>978-0-85466-643-0</t>
  </si>
  <si>
    <t>IntechOpen</t>
  </si>
  <si>
    <t>JUAN CARLOS LUCAS AGUIRRE</t>
  </si>
  <si>
    <t>Moufti Ahmed</t>
  </si>
  <si>
    <t>German Antonio Giraldo Giraldo</t>
  </si>
  <si>
    <t>Misael Cortés Rodríguez</t>
  </si>
  <si>
    <t>Taoufik Mohamed</t>
  </si>
  <si>
    <t>Amri Afaf</t>
  </si>
  <si>
    <t>Mabrouki Jamal</t>
  </si>
  <si>
    <t>Mountadar Mohammed</t>
  </si>
  <si>
    <t>Garmes Hocine</t>
  </si>
  <si>
    <t>Regional Center, Morocco</t>
  </si>
  <si>
    <t>University Chouaib</t>
  </si>
  <si>
    <t>University in Rabat</t>
  </si>
  <si>
    <t>University Moulay Ismail</t>
  </si>
  <si>
    <t>Najat Kamal</t>
  </si>
  <si>
    <t>Rosa Galvez</t>
  </si>
  <si>
    <t>Gerardo Buelna</t>
  </si>
  <si>
    <t>Abdelaziz Bacaoui</t>
  </si>
  <si>
    <t>Laval University</t>
  </si>
  <si>
    <t>CERI du Quebec</t>
  </si>
  <si>
    <t>University of Cadi Ayyad</t>
  </si>
  <si>
    <t>Andrés A. Abin Bazaine</t>
  </si>
  <si>
    <t>Mario A. Olmos Marquez</t>
  </si>
  <si>
    <t>Alfredo Campos Trujillo</t>
  </si>
  <si>
    <t>Complejo Industrial Chihuahua</t>
  </si>
  <si>
    <t>Autonomous University of Chihuahua</t>
  </si>
  <si>
    <t>Goran Nikolić</t>
  </si>
  <si>
    <t>Dragana Marković Nikolić</t>
  </si>
  <si>
    <t>Aleksandar Bojić</t>
  </si>
  <si>
    <t>Danijela Bojić</t>
  </si>
  <si>
    <t>Ljubiša Nikolić</t>
  </si>
  <si>
    <t>Ljiljana Stanojević</t>
  </si>
  <si>
    <t>Miloš Durmišević</t>
  </si>
  <si>
    <t>Nataša Simonović</t>
  </si>
  <si>
    <t>Miloš Kostić</t>
  </si>
  <si>
    <t>Ijeoma J. Ani</t>
  </si>
  <si>
    <t>Uduak G. Akpan</t>
  </si>
  <si>
    <t>Ezeh E. Mbamalu</t>
  </si>
  <si>
    <t>Chinedu T. Egbosiuba</t>
  </si>
  <si>
    <t>Himangi Neve</t>
  </si>
  <si>
    <t>Deven Kadam</t>
  </si>
  <si>
    <t>Chinmay Sadadekar</t>
  </si>
  <si>
    <t>Vinayak Wadgaonkar</t>
  </si>
  <si>
    <t>Siraj Bhatkar</t>
  </si>
  <si>
    <t>Prasad Wadekar</t>
  </si>
  <si>
    <t>Univertisy of Nis, Serbia</t>
  </si>
  <si>
    <t>University of Nis, Serbia</t>
  </si>
  <si>
    <t>Nasarawa State University</t>
  </si>
  <si>
    <t>Federal State University</t>
  </si>
  <si>
    <t>Texas A&amp;M University</t>
  </si>
  <si>
    <t>Mit World Peace University</t>
  </si>
  <si>
    <t>978-628-7873-21-6</t>
  </si>
  <si>
    <t>Heroines d'action et de resistance: histoires inspirantes pour la classe de FLE</t>
  </si>
  <si>
    <t>Núcleo Temático de Francés</t>
  </si>
  <si>
    <t>Daniela Duque Cárdenas</t>
  </si>
  <si>
    <t>Al docente Cristian Camilo Reyes Galeano se le asignan 6,7 de 15,0 puntos. Lo anterior para dar cumplimiento al A.C.S No.012 de 2009, artículo 9°, que reza; El máximo puntaje que se le asigna a un docente por productividad académica relacionada con libros será de 35 puntos por año.</t>
  </si>
  <si>
    <t>Hoja de Vida del Docente</t>
  </si>
  <si>
    <t>Asociación Colombiana de Facultades de Administración - ASCOLFA</t>
  </si>
  <si>
    <t>LAURA LICETH TORRES QUINTERO</t>
  </si>
  <si>
    <t>Ganadora de la categoría "Maestro Revelación"</t>
  </si>
  <si>
    <t>1 Autor
Se asignan 10 puntos a premio nacional, de acuerdo a la tabla aprobada por el CIARP en sesión 3 del 30/05/2025.</t>
  </si>
  <si>
    <t>CARMEN AYDÉ FERNÁNDEZ RINCÓN</t>
  </si>
  <si>
    <t>Experiencias del profesional de enfermería duarnte el cuidado en el proceso de duelo</t>
  </si>
  <si>
    <t>Premio "Tecer puesto en ponencia oral"</t>
  </si>
  <si>
    <t>Universidad del Rosario y Unisanitas</t>
  </si>
  <si>
    <t>Diana Camila Alegría Álvarez</t>
  </si>
  <si>
    <t>Jenny Paola Melo Marulanda</t>
  </si>
  <si>
    <t>Laura Michell Alejo Rincón</t>
  </si>
  <si>
    <t>Revisión sistemática del pensamiento computacional y educación STEM en el currículo de secundaria</t>
  </si>
  <si>
    <t>EDGAR JAVIER CARMONA SUAREZ</t>
  </si>
  <si>
    <t>Licenciatura en Matemáticas</t>
  </si>
  <si>
    <t>Praxis</t>
  </si>
  <si>
    <t>2389-7856</t>
  </si>
  <si>
    <t>https://scienti.minciencias.gov.co/publindex/#/revistasPublindex/detalle?tipo=R&amp;idRevista=820</t>
  </si>
  <si>
    <t>Universidad del Magdalena</t>
  </si>
  <si>
    <t>Universidad del Tolima</t>
  </si>
  <si>
    <t>CATALINA TRUJILLO OSORIO</t>
  </si>
  <si>
    <t>Doctora en Ciencias Ambientales</t>
  </si>
  <si>
    <t>JORGE MARIO GARCÍA USUGA</t>
  </si>
  <si>
    <t>DIANA MILENA GALVIS SOTO</t>
  </si>
  <si>
    <t>HEILLER GUTIERREZ ZULUAGA</t>
  </si>
  <si>
    <t>CRISTIAN CAMILO VILLA ZABALA</t>
  </si>
  <si>
    <t>978-628-7873-07-0</t>
  </si>
  <si>
    <t>Fundamentos de matemáticas generales. Conceptos, ejercicios y aplicaciones</t>
  </si>
  <si>
    <t>Matemáticas Generales</t>
  </si>
  <si>
    <t>978-628-7783-97-3</t>
  </si>
  <si>
    <t>Transmedia. Serie, investigación y creación</t>
  </si>
  <si>
    <t>MARÍA CONSTANZA DIAZ CRUZ</t>
  </si>
  <si>
    <t>978-628-7873-23-0</t>
  </si>
  <si>
    <t>Análisis financiero desde la práctica</t>
  </si>
  <si>
    <t>Análisis Financiero</t>
  </si>
  <si>
    <t>Yaneth Ladino Villegas</t>
  </si>
  <si>
    <t>César Augusto Valencia Baquero</t>
  </si>
  <si>
    <t>Dep. of Technological</t>
  </si>
  <si>
    <t>El escritor rabioso</t>
  </si>
  <si>
    <t>978-628-7783-73-7</t>
  </si>
  <si>
    <t>Sebastián Montes</t>
  </si>
  <si>
    <t>Argumentación universitaria situada</t>
  </si>
  <si>
    <t>978-628-7873-27-8</t>
  </si>
  <si>
    <t>LINA MARÍA MORENO SERNA</t>
  </si>
  <si>
    <t>Memoria de trabajo, lenguas y escritura:
Perspectivas para comprender la narrativa bilingüe</t>
  </si>
  <si>
    <t>978-628-7873-17-9</t>
  </si>
  <si>
    <t>Carlos Andrés Restrepo Zapata</t>
  </si>
  <si>
    <t>Jairo Andrés Sarmiento Giraldo</t>
  </si>
  <si>
    <t>978-628-7873-30-8</t>
  </si>
  <si>
    <t>Liderazgo. Entre el instinto y la razón
Dos formas de liderazgo</t>
  </si>
  <si>
    <t>HERNÁN HOYOS WALTEROS</t>
  </si>
  <si>
    <t>Asociación Psicoanalítica Internacional en la Ciudad de Londres</t>
  </si>
  <si>
    <t>Diana Clemencia Ríos Arias</t>
  </si>
  <si>
    <t>Estefanía Hoyos Marín</t>
  </si>
  <si>
    <t>Gerencia estratégica basada en costos para la toma de decisiones empresariales de las mipymes del sector de muebles de madera de Armenia Quindío</t>
  </si>
  <si>
    <t>978-628-7873-20-9</t>
  </si>
  <si>
    <t>IVONNE CAICEDO GONZÁLEZ</t>
  </si>
  <si>
    <t>Desempeño en competencias genéricas en Saber Pro. Análisis comparativo de universidades en el suroccidente colombiano</t>
  </si>
  <si>
    <t>978-628-7873-14-8</t>
  </si>
  <si>
    <t>LUIS FERNANDO CASTRO ROJAS</t>
  </si>
  <si>
    <t>Fortalecimiento de la comprensión lectora mediante el uso de libros interactivos en Moodle con estudiantes de quinto grado de básica primaria</t>
  </si>
  <si>
    <t>2590-9215</t>
  </si>
  <si>
    <t>Perspectivas</t>
  </si>
  <si>
    <t>https://scienti.minciencias.gov.co/publindex/#/revistasPublindex/detalle?tipo=R&amp;idRevista=1008</t>
  </si>
  <si>
    <t>Carolina Montoya Mejía</t>
  </si>
  <si>
    <t>Félix Joaquín Lozano Cárdenas</t>
  </si>
  <si>
    <t>Universidad Francisco De Paula Santander</t>
  </si>
  <si>
    <t>Jameson Leonardo Jiménez Gómez</t>
  </si>
  <si>
    <t>PEDRO FELIPE DIAZ ARENAS</t>
  </si>
  <si>
    <t>Gerontologia educativa universitaria y didactica inclusiva en america latina</t>
  </si>
  <si>
    <t>Carolina Cano Madrid</t>
  </si>
  <si>
    <t>1900-9895</t>
  </si>
  <si>
    <t>Latinoamericana de Estudios Educativos</t>
  </si>
  <si>
    <t>https://scienti.minciencias.gov.co/publindex/#/revistasPublindex/detalle?tipo=R&amp;idRevista=208</t>
  </si>
  <si>
    <t>JOSÉ ENVER AYALA ZULUAGA</t>
  </si>
  <si>
    <t>Universidad Francisco de Paula Santander</t>
  </si>
  <si>
    <t>2389-7066</t>
  </si>
  <si>
    <t>Universidad y Salud</t>
  </si>
  <si>
    <t>Violencia simbólica en la enseñanza superior de enfermería. Una revisión narrativa</t>
  </si>
  <si>
    <t>https://scienti.minciencias.gov.co/publindex/#/revistasPublindex/detalle?tipo=R&amp;idRevista=279</t>
  </si>
  <si>
    <t>No Indexada</t>
  </si>
  <si>
    <t>Universidad de Nariño</t>
  </si>
  <si>
    <t>Edna Johana  Mondragón Sanchéz</t>
  </si>
  <si>
    <t>Ana Patricia Pérez Saavedra</t>
  </si>
  <si>
    <t>La revista no cuenta con indexación desde 2022</t>
  </si>
  <si>
    <t>Resiliencia empresarial en el clúster agroindustrial del Quindío: un enfoque prospectivo basado en redes empresariales</t>
  </si>
  <si>
    <t>2539-0554</t>
  </si>
  <si>
    <t>Tendencias</t>
  </si>
  <si>
    <t>https://scienti.minciencias.gov.co/publindex/#/revistasPublindex/detalle?tipo=R&amp;idRevista=629</t>
  </si>
  <si>
    <t>ADRIANA MARÍA FLÓREZ LAISECA</t>
  </si>
  <si>
    <t>Elkin Argiro Muñoz Arroyave</t>
  </si>
  <si>
    <t>Universidad Nacional de Colombia</t>
  </si>
  <si>
    <t>Aprobado con 10,4 puntos en el CIARP 1 del 18/03/2026. La docente solicita 3er par evaluador de acuerdo a lo establecido en el A.C.S 012 de 2009, artículo segundo, numeral 5.</t>
  </si>
  <si>
    <t>978-628-7873-01-8</t>
  </si>
  <si>
    <t>La educación infantil camino hacia la resiliencia en las infancias</t>
  </si>
  <si>
    <t>ANGELA MARÍA JIMÉNEZ ROJAS</t>
  </si>
  <si>
    <t>LUIS FERNANDO MARIN RIOS</t>
  </si>
  <si>
    <t>Diana Rocío Beltrán Hoyos</t>
  </si>
  <si>
    <t>Rumiendo 2025</t>
  </si>
  <si>
    <t>Artes visuales</t>
  </si>
  <si>
    <t>24 al 26 de septiembre de 2025</t>
  </si>
  <si>
    <t>1 Autor</t>
  </si>
  <si>
    <t>Podcast Común-mente, Breve introducción a la narrativa</t>
  </si>
  <si>
    <t>25 minutos, 31 segundos
2025</t>
  </si>
  <si>
    <t>La Ufm estéreo
Canal Universitario Nacional Zoom</t>
  </si>
  <si>
    <t>Andrés Mauricio Hernández Carvajal</t>
  </si>
  <si>
    <t>Eval.1= 5,52
Eval.2= 7,0
X=6,26</t>
  </si>
  <si>
    <t>Podcast Común-mente, La narrativa en la escritura</t>
  </si>
  <si>
    <t>27 minutos, 57 segundos
2025</t>
  </si>
  <si>
    <t>Eval.1= 6,26
Eval.2= 7,0
X=6,63</t>
  </si>
  <si>
    <t>3 Autores</t>
  </si>
  <si>
    <t>Podcast Común-mente, Narrativa y dramaturgia</t>
  </si>
  <si>
    <t>29 minutos, 03 segundos
2025</t>
  </si>
  <si>
    <t>Fonográfica</t>
  </si>
  <si>
    <t>Podcast Común-mente, Narrativas mediáticas: Audiovisual y sonora</t>
  </si>
  <si>
    <t>28 minutos, 04 segundos
2025</t>
  </si>
  <si>
    <t>Eval.1= 6,26
Eval.2= 6,26
X=6,26</t>
  </si>
  <si>
    <t>Podcast Común-mente, Narrativa y educación</t>
  </si>
  <si>
    <t>Eval.1= 6,26
Eval.2= 5,47
X=5,86</t>
  </si>
  <si>
    <t>Doctora en Ciencias de la Educación</t>
  </si>
  <si>
    <t>TOTAL PUNTOS PROD. VIDEOS</t>
  </si>
  <si>
    <t>OLGA LUCÍA TORRES VARGAS</t>
  </si>
  <si>
    <t>HENRY REYES PINEDA</t>
  </si>
  <si>
    <t>Los puntos se pagarán a la docente Lina M. Martínez G. al término de la comisión académica-administrativa como directora del programa de Trabajo Social</t>
  </si>
  <si>
    <t>Los puntos se pagarán a la docente Adriana María Flórez L. al término de la comisión académica-administrativa como directora del programa de Economía</t>
  </si>
  <si>
    <t>Estructura y liquidación de los impuestos saludables en Colombia</t>
  </si>
  <si>
    <t>978-628-7873-15-5</t>
  </si>
  <si>
    <t>ANA GLADYS TORRES CASTAÑO</t>
  </si>
  <si>
    <t>María Constanza Díaz Cruz</t>
  </si>
  <si>
    <t>Origen, evolución y conceptualización de los impuestos saludables en Colombia</t>
  </si>
  <si>
    <t>978-628-7873-13-1</t>
  </si>
  <si>
    <t>Sistema de Almacenamiento de Leche Adaptado Sistema de Enfriamiento Móvil</t>
  </si>
  <si>
    <t>VICTOR DUMAR QUINTERO CASTAÑO</t>
  </si>
  <si>
    <t xml:space="preserve">Ingeniería de Alimentos </t>
  </si>
  <si>
    <t>Julio César Luna Ramírez</t>
  </si>
  <si>
    <t>Diseño y construcción de un motor stirling de baja potencia para la conservación de energía solar a energía eléctrica utilizando una lente de fresnel</t>
  </si>
  <si>
    <t>Diseño e implementación de una planta de corte al vuelo para la evaluación de estrategias de control en el entorno académico</t>
  </si>
  <si>
    <t>Claudia Milena González Arbeláez</t>
  </si>
  <si>
    <t>Caja de iluminación LED para fotodegradación y estudios fotoactivos</t>
  </si>
  <si>
    <t>DIANA BLACH VARGAS</t>
  </si>
  <si>
    <t>Juan Sebastian Flórez</t>
  </si>
  <si>
    <t>Diseño, Construcción y puesta en marcha de un banco hidráulico para el estudio de pérdidas por accesorios para el laboratorio de Hidráulica del programa de Ingeniería Civil, Universidad del Quindío</t>
  </si>
  <si>
    <t>PEDRO LEÓN GARCÍA REINOSO</t>
  </si>
  <si>
    <t>Juan Camilo Acosta Motato</t>
  </si>
  <si>
    <t>Miguel Ángel Giraldo Bedoya</t>
  </si>
  <si>
    <t>Plataforma de agricultura inteligente, PAI-Portable</t>
  </si>
  <si>
    <t>JAIME ALBERTO BUITRAGO</t>
  </si>
  <si>
    <t>Innovación Tecnológica</t>
  </si>
  <si>
    <t>Mateo Valencia Buitrago</t>
  </si>
  <si>
    <t xml:space="preserve">Initial teaching education and professional development in ELT. A local view </t>
  </si>
  <si>
    <t>978-628-7873-47-6</t>
  </si>
  <si>
    <t>OSCAR HERNÁN MONTOYA GÓMEZ</t>
  </si>
  <si>
    <t xml:space="preserve">LARISSA TATIANA RICO BUITRAGO </t>
  </si>
  <si>
    <r>
      <t xml:space="preserve">Eval.1= 4,275
Eval.2= 4,192
</t>
    </r>
    <r>
      <rPr>
        <b/>
        <u/>
        <sz val="10"/>
        <color rgb="FFFF0000"/>
        <rFont val="Arial Narrow"/>
        <family val="2"/>
      </rPr>
      <t>X=8,467/2=4,2335
≈4,2</t>
    </r>
  </si>
  <si>
    <t>3 Autores
El cálculo se realizó con base en la escala de calificación aprobada por el CIARP en el Acta No.6 de 2022 y con la escala de calificación (10) de la Res.00693 del 2004 de Minciencias.
El resultado de la evaluación (4,2 puntos), no cumple con el puntaje de calidad que debe ser igual o superior al 60% (4,8 puntos) de la calificación máxima, que son 8 puntos para Producción Técnica - Adaptación Tecnológica, según lo acordado por el CIARP en el Acta 07 del 26/10/2016 como puntaje de calidad.</t>
  </si>
  <si>
    <r>
      <t xml:space="preserve">Eval.1= 5,96
Eval.2= 3,75
</t>
    </r>
    <r>
      <rPr>
        <b/>
        <u/>
        <sz val="10"/>
        <color theme="1"/>
        <rFont val="Arial Narrow"/>
        <family val="2"/>
      </rPr>
      <t>X=9,705/2=4,85
≈4,9</t>
    </r>
  </si>
  <si>
    <t>1 Autor
El calculo se realizó con base en la escala de calificación aprobada por el CIARP en el Acta No.6 de 2022 y con la escala de calificación de la Res.00693 del 2004 de Minciencias.</t>
  </si>
  <si>
    <t>3 Autores
El calculo se realizó con base en la escala de calificación aprobada por el CIARP en el Acta No.6 de 2022 y con la escala de calificación de la Res.00693 del 2004 de Minciencias.</t>
  </si>
  <si>
    <r>
      <t xml:space="preserve">Eval.1= 3,47
Eval.2= 6,49
</t>
    </r>
    <r>
      <rPr>
        <b/>
        <u/>
        <sz val="10"/>
        <color theme="1"/>
        <rFont val="Arial Narrow"/>
        <family val="2"/>
      </rPr>
      <t>X=9,952/2=4,976
≈5,0</t>
    </r>
  </si>
  <si>
    <r>
      <t xml:space="preserve">Eval.1=14,62
Eval.2= 10,28
</t>
    </r>
    <r>
      <rPr>
        <b/>
        <u/>
        <sz val="10"/>
        <color theme="1"/>
        <rFont val="Arial Narrow"/>
        <family val="2"/>
      </rPr>
      <t>X=24,89/2=12,45
≈12,5</t>
    </r>
  </si>
  <si>
    <r>
      <t xml:space="preserve">Eval.1= 6,40
Eval.2= 4,61
</t>
    </r>
    <r>
      <rPr>
        <b/>
        <u/>
        <sz val="10"/>
        <color theme="1"/>
        <rFont val="Arial Narrow"/>
        <family val="2"/>
      </rPr>
      <t>X=11,01/2=5,50
≈5,5</t>
    </r>
  </si>
  <si>
    <r>
      <t xml:space="preserve">Eval.1= 4,00
Eval.2= 6,66
</t>
    </r>
    <r>
      <rPr>
        <b/>
        <u/>
        <sz val="10"/>
        <color theme="1"/>
        <rFont val="Arial Narrow"/>
        <family val="2"/>
      </rPr>
      <t>X=10,66/2=5,33
≈5,3</t>
    </r>
  </si>
  <si>
    <t>Acta. No.03
del 23/06/2026</t>
  </si>
  <si>
    <t>23 de junio</t>
  </si>
  <si>
    <r>
      <t xml:space="preserve">Eval.1= 4,65
Eval.2= 4,5
X= 4,575
</t>
    </r>
    <r>
      <rPr>
        <b/>
        <u/>
        <sz val="10"/>
        <rFont val="Arial Narrow"/>
        <family val="2"/>
      </rPr>
      <t>X=4,375*4,0= 18,3</t>
    </r>
  </si>
  <si>
    <t>A la docente Constanza L Fajardo C. se le asignan 6,6 de 14,1 puntos. Lo anterior para dar cumplimiento al A.C.S No.012 de 2009, artículo 9°, que reza; El máximo puntaje que se le asigna a un docente por productividad académica relacionada con libros será de 35 puntos por año.</t>
  </si>
  <si>
    <t>4- 02/10/2026</t>
  </si>
  <si>
    <t>4 Autores
Los anexos se ponen a consideración del CIARP para aprobación // El CIARP revisa la solicitud con los anexos y asigna los puntos de acuerdo a la tabla aprobada por el CIARP en sesión 3 del 30/05/2025.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</si>
</sst>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d/m/yyyy"/>
  </numFmts>
  <fonts count="51" x14ac:knownFonts="1">
    <font>
      <sz val="11"/>
      <color theme="1"/>
      <name val="Calibri"/>
      <family val="2"/>
      <scheme val="minor"/>
    </font>
    <font>
      <b/>
      <sz val="9"/>
      <name val="Arial"/>
      <family val="2"/>
    </font>
    <font>
      <sz val="9"/>
      <color theme="1"/>
      <name val="Arial"/>
      <family val="2"/>
    </font>
    <font>
      <b/>
      <sz val="11"/>
      <color theme="1"/>
      <name val="Arial"/>
      <family val="2"/>
    </font>
    <font>
      <sz val="10"/>
      <color theme="1"/>
      <name val="Arial"/>
      <family val="2"/>
    </font>
    <font>
      <b/>
      <sz val="9"/>
      <color theme="1"/>
      <name val="Arial"/>
      <family val="2"/>
    </font>
    <font>
      <b/>
      <sz val="10"/>
      <color theme="1"/>
      <name val="Arial"/>
      <family val="2"/>
    </font>
    <font>
      <sz val="11"/>
      <color theme="1"/>
      <name val="Arial"/>
      <family val="2"/>
    </font>
    <font>
      <sz val="10"/>
      <color rgb="FF000000"/>
      <name val="Arial"/>
      <family val="2"/>
    </font>
    <font>
      <sz val="9"/>
      <name val="Arial"/>
      <family val="2"/>
    </font>
    <font>
      <sz val="11"/>
      <color theme="1"/>
      <name val="Arial"/>
      <family val="2"/>
    </font>
    <font>
      <sz val="11"/>
      <color theme="1"/>
      <name val="Calibri"/>
      <family val="2"/>
      <scheme val="minor"/>
    </font>
    <font>
      <sz val="11"/>
      <color theme="1"/>
      <name val="Arial"/>
      <family val="2"/>
    </font>
    <font>
      <u/>
      <sz val="11"/>
      <color theme="10"/>
      <name val="Calibri"/>
      <family val="2"/>
      <scheme val="minor"/>
    </font>
    <font>
      <sz val="11"/>
      <color theme="1"/>
      <name val="Arial"/>
      <family val="2"/>
    </font>
    <font>
      <b/>
      <sz val="10"/>
      <name val="Arial Narrow"/>
      <family val="2"/>
    </font>
    <font>
      <b/>
      <sz val="10"/>
      <color theme="1"/>
      <name val="Arial Narrow"/>
      <family val="2"/>
    </font>
    <font>
      <sz val="10"/>
      <color theme="1"/>
      <name val="Arial Narrow"/>
      <family val="2"/>
    </font>
    <font>
      <sz val="8"/>
      <name val="Calibri"/>
      <family val="2"/>
      <scheme val="minor"/>
    </font>
    <font>
      <b/>
      <sz val="10"/>
      <color rgb="FFFF0000"/>
      <name val="Arial Narrow"/>
      <family val="2"/>
    </font>
    <font>
      <sz val="10"/>
      <color rgb="FFFF0000"/>
      <name val="Arial Narrow"/>
      <family val="2"/>
    </font>
    <font>
      <sz val="10"/>
      <name val="Arial Narrow"/>
      <family val="2"/>
    </font>
    <font>
      <sz val="10"/>
      <color rgb="FF000000"/>
      <name val="Arial Narrow"/>
      <family val="2"/>
    </font>
    <font>
      <sz val="9"/>
      <color rgb="FF000000"/>
      <name val="Arial"/>
      <family val="2"/>
    </font>
    <font>
      <b/>
      <sz val="9"/>
      <color rgb="FF000000"/>
      <name val="Arial"/>
      <family val="2"/>
    </font>
    <font>
      <sz val="9"/>
      <color rgb="FF008000"/>
      <name val="Arial"/>
      <family val="2"/>
    </font>
    <font>
      <sz val="9"/>
      <color rgb="FFFF0000"/>
      <name val="Arial"/>
      <family val="2"/>
    </font>
    <font>
      <b/>
      <sz val="11"/>
      <name val="Calibri"/>
      <family val="2"/>
      <scheme val="minor"/>
    </font>
    <font>
      <sz val="11"/>
      <name val="Calibri"/>
      <family val="2"/>
      <scheme val="minor"/>
    </font>
    <font>
      <sz val="9"/>
      <color theme="6" tint="-0.499984740745262"/>
      <name val="Arial"/>
      <family val="2"/>
    </font>
    <font>
      <b/>
      <sz val="9"/>
      <color theme="6" tint="-0.499984740745262"/>
      <name val="Arial"/>
      <family val="2"/>
    </font>
    <font>
      <sz val="10"/>
      <color theme="6" tint="-0.499984740745262"/>
      <name val="Arial Narrow"/>
      <family val="2"/>
    </font>
    <font>
      <b/>
      <sz val="10"/>
      <color theme="6" tint="-0.499984740745262"/>
      <name val="Arial Narrow"/>
      <family val="2"/>
    </font>
    <font>
      <b/>
      <u/>
      <sz val="9"/>
      <color theme="6" tint="-0.499984740745262"/>
      <name val="Arial"/>
      <family val="2"/>
    </font>
    <font>
      <u/>
      <sz val="10"/>
      <color theme="10"/>
      <name val="Arial Narrow"/>
      <family val="2"/>
    </font>
    <font>
      <sz val="10"/>
      <color rgb="FF00B050"/>
      <name val="Arial Narrow"/>
      <family val="2"/>
    </font>
    <font>
      <u/>
      <sz val="10"/>
      <color rgb="FFFF0000"/>
      <name val="Arial Narrow"/>
      <family val="2"/>
    </font>
    <font>
      <sz val="10"/>
      <color rgb="FF006600"/>
      <name val="Arial Narrow"/>
      <family val="2"/>
    </font>
    <font>
      <sz val="8"/>
      <name val="Arial Narrow"/>
      <family val="2"/>
    </font>
    <font>
      <b/>
      <sz val="10"/>
      <color rgb="FF006600"/>
      <name val="Arial Narrow"/>
      <family val="2"/>
    </font>
    <font>
      <sz val="9"/>
      <color theme="1"/>
      <name val="Arial Narrow"/>
      <family val="2"/>
    </font>
    <font>
      <b/>
      <sz val="9"/>
      <color theme="1"/>
      <name val="Arial Narrow"/>
      <family val="2"/>
    </font>
    <font>
      <sz val="11"/>
      <color theme="1"/>
      <name val="Arial Narrow"/>
      <family val="2"/>
    </font>
    <font>
      <b/>
      <sz val="9"/>
      <name val="Arial Narrow"/>
      <family val="2"/>
    </font>
    <font>
      <sz val="9"/>
      <name val="Arial Narrow"/>
      <family val="2"/>
    </font>
    <font>
      <sz val="10"/>
      <color theme="6" tint="-0.249977111117893"/>
      <name val="Arial Narrow"/>
      <family val="2"/>
    </font>
    <font>
      <b/>
      <sz val="10"/>
      <color theme="6" tint="-0.249977111117893"/>
      <name val="Arial Narrow"/>
      <family val="2"/>
    </font>
    <font>
      <sz val="10"/>
      <color rgb="FF008000"/>
      <name val="Arial Narrow"/>
      <family val="2"/>
    </font>
    <font>
      <b/>
      <u/>
      <sz val="10"/>
      <color rgb="FFFF0000"/>
      <name val="Arial Narrow"/>
      <family val="2"/>
    </font>
    <font>
      <b/>
      <u/>
      <sz val="10"/>
      <color theme="1"/>
      <name val="Arial Narrow"/>
      <family val="2"/>
    </font>
    <font>
      <b/>
      <u/>
      <sz val="10"/>
      <name val="Arial Narrow"/>
      <family val="2"/>
    </font>
  </fonts>
  <fills count="19">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BD4B4"/>
        <bgColor indexed="64"/>
      </patternFill>
    </fill>
    <fill>
      <patternFill patternType="solid">
        <fgColor theme="0"/>
        <bgColor theme="0"/>
      </patternFill>
    </fill>
    <fill>
      <patternFill patternType="solid">
        <fgColor theme="7" tint="0.79998168889431442"/>
        <bgColor indexed="64"/>
      </patternFill>
    </fill>
    <fill>
      <patternFill patternType="solid">
        <fgColor rgb="FFFBD4B4"/>
        <bgColor rgb="FFFBD4B4"/>
      </patternFill>
    </fill>
    <fill>
      <patternFill patternType="solid">
        <fgColor theme="0"/>
        <bgColor rgb="FFFFFF00"/>
      </patternFill>
    </fill>
    <fill>
      <patternFill patternType="solid">
        <fgColor rgb="FFFFFFFF"/>
        <bgColor rgb="FFFFFFFF"/>
      </patternFill>
    </fill>
    <fill>
      <patternFill patternType="solid">
        <fgColor rgb="FFFDE9D9"/>
        <bgColor indexed="64"/>
      </patternFill>
    </fill>
    <fill>
      <patternFill patternType="solid">
        <fgColor theme="6" tint="0.79998168889431442"/>
        <bgColor indexed="64"/>
      </patternFill>
    </fill>
    <fill>
      <patternFill patternType="solid">
        <fgColor theme="9" tint="0.79998168889431442"/>
        <bgColor rgb="FFFDE9D9"/>
      </patternFill>
    </fill>
    <fill>
      <patternFill patternType="solid">
        <fgColor theme="9" tint="0.79998168889431442"/>
        <bgColor rgb="FFC2D69B"/>
      </patternFill>
    </fill>
    <fill>
      <patternFill patternType="solid">
        <fgColor theme="9" tint="0.79998168889431442"/>
        <bgColor rgb="FFC6D9F0"/>
      </patternFill>
    </fill>
    <fill>
      <patternFill patternType="solid">
        <fgColor theme="9" tint="0.79998168889431442"/>
        <bgColor rgb="FFCCFFFF"/>
      </patternFill>
    </fill>
    <fill>
      <patternFill patternType="solid">
        <fgColor theme="7" tint="0.79998168889431442"/>
        <bgColor rgb="FFCCCCFF"/>
      </patternFill>
    </fill>
    <fill>
      <patternFill patternType="solid">
        <fgColor theme="6" tint="0.79998168889431442"/>
        <bgColor rgb="FFCCFFC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indexed="64"/>
      </top>
      <bottom/>
      <diagonal/>
    </border>
    <border>
      <left/>
      <right style="thin">
        <color indexed="64"/>
      </right>
      <top/>
      <bottom style="thin">
        <color indexed="64"/>
      </bottom>
      <diagonal/>
    </border>
  </borders>
  <cellStyleXfs count="44">
    <xf numFmtId="0" fontId="0"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11" fillId="0" borderId="0"/>
    <xf numFmtId="0" fontId="1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8" fillId="0" borderId="0"/>
    <xf numFmtId="0" fontId="7" fillId="0" borderId="0"/>
    <xf numFmtId="0" fontId="7" fillId="0" borderId="0"/>
    <xf numFmtId="0" fontId="7" fillId="0" borderId="0"/>
    <xf numFmtId="0" fontId="11" fillId="0" borderId="0"/>
    <xf numFmtId="0" fontId="12" fillId="0" borderId="0"/>
    <xf numFmtId="0" fontId="13" fillId="0" borderId="0" applyNumberFormat="0" applyFill="0" applyBorder="0" applyAlignment="0" applyProtection="0"/>
    <xf numFmtId="0" fontId="7" fillId="0" borderId="0"/>
    <xf numFmtId="0" fontId="7" fillId="0" borderId="0"/>
    <xf numFmtId="0" fontId="14" fillId="0" borderId="0"/>
    <xf numFmtId="0" fontId="11" fillId="0" borderId="0"/>
    <xf numFmtId="0" fontId="11" fillId="0" borderId="0"/>
    <xf numFmtId="0" fontId="11" fillId="0" borderId="0"/>
    <xf numFmtId="0" fontId="11" fillId="0" borderId="0"/>
  </cellStyleXfs>
  <cellXfs count="400">
    <xf numFmtId="0" fontId="0" fillId="0" borderId="0" xfId="0"/>
    <xf numFmtId="0" fontId="4" fillId="0" borderId="0" xfId="0" applyFont="1"/>
    <xf numFmtId="0" fontId="2" fillId="0" borderId="0" xfId="0" applyFont="1" applyAlignment="1">
      <alignment wrapText="1"/>
    </xf>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1" fillId="2" borderId="1" xfId="0" applyFont="1" applyFill="1" applyBorder="1" applyAlignment="1">
      <alignment horizontal="center" vertical="center"/>
    </xf>
    <xf numFmtId="49" fontId="2" fillId="0" borderId="0" xfId="0" applyNumberFormat="1" applyFont="1" applyAlignment="1">
      <alignment horizontal="center" vertical="center" wrapText="1"/>
    </xf>
    <xf numFmtId="0" fontId="6" fillId="3" borderId="0" xfId="0" applyFont="1" applyFill="1" applyAlignment="1">
      <alignment horizontal="left" vertical="center"/>
    </xf>
    <xf numFmtId="165" fontId="6" fillId="3" borderId="0" xfId="0" applyNumberFormat="1" applyFont="1" applyFill="1" applyAlignment="1">
      <alignment horizontal="center" vertical="center"/>
    </xf>
    <xf numFmtId="0" fontId="0" fillId="0" borderId="0" xfId="0" applyAlignment="1">
      <alignment horizontal="center" wrapText="1"/>
    </xf>
    <xf numFmtId="0" fontId="0" fillId="0" borderId="0" xfId="0" applyAlignment="1">
      <alignment horizontal="center"/>
    </xf>
    <xf numFmtId="0" fontId="15" fillId="2" borderId="2" xfId="0" applyFont="1" applyFill="1" applyBorder="1" applyAlignment="1" applyProtection="1">
      <alignment horizontal="center" vertical="center" wrapText="1"/>
      <protection locked="0"/>
    </xf>
    <xf numFmtId="0" fontId="16" fillId="5" borderId="2" xfId="0" applyFont="1" applyFill="1" applyBorder="1" applyAlignment="1">
      <alignment horizontal="center" vertical="center" wrapText="1"/>
    </xf>
    <xf numFmtId="0" fontId="17" fillId="0" borderId="0" xfId="0" applyFont="1"/>
    <xf numFmtId="0" fontId="15" fillId="2" borderId="5" xfId="0" applyFont="1" applyFill="1" applyBorder="1" applyAlignment="1" applyProtection="1">
      <alignment horizontal="center" vertical="center" wrapText="1"/>
      <protection locked="0"/>
    </xf>
    <xf numFmtId="0" fontId="16" fillId="5" borderId="5"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wrapText="1"/>
    </xf>
    <xf numFmtId="0" fontId="17" fillId="0" borderId="3" xfId="0" applyFont="1" applyBorder="1" applyAlignment="1">
      <alignment horizontal="center" vertical="center"/>
    </xf>
    <xf numFmtId="3" fontId="17" fillId="7" borderId="1" xfId="0" applyNumberFormat="1" applyFont="1" applyFill="1" applyBorder="1" applyAlignment="1">
      <alignment horizontal="center" vertical="center"/>
    </xf>
    <xf numFmtId="0" fontId="17" fillId="0" borderId="0" xfId="0" applyFont="1" applyAlignment="1">
      <alignment horizontal="left" vertical="center" wrapText="1"/>
    </xf>
    <xf numFmtId="0" fontId="17" fillId="0" borderId="0" xfId="0" applyFont="1" applyAlignment="1">
      <alignment vertical="center"/>
    </xf>
    <xf numFmtId="0" fontId="17" fillId="0" borderId="0" xfId="0" applyFont="1" applyAlignment="1">
      <alignment horizontal="center"/>
    </xf>
    <xf numFmtId="0" fontId="20" fillId="0" borderId="0" xfId="0" applyFont="1"/>
    <xf numFmtId="0" fontId="17" fillId="0" borderId="0" xfId="0" applyFont="1" applyAlignment="1">
      <alignment wrapText="1"/>
    </xf>
    <xf numFmtId="0" fontId="17" fillId="0" borderId="0" xfId="0" applyFont="1" applyAlignment="1">
      <alignment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15" fillId="2" borderId="2" xfId="0" applyFont="1" applyFill="1" applyBorder="1" applyAlignment="1">
      <alignment horizontal="center" vertical="center" wrapText="1"/>
    </xf>
    <xf numFmtId="14" fontId="21" fillId="0" borderId="1" xfId="0" applyNumberFormat="1" applyFont="1" applyBorder="1" applyAlignment="1">
      <alignment horizontal="center" vertical="center" wrapText="1"/>
    </xf>
    <xf numFmtId="0" fontId="21" fillId="0" borderId="0" xfId="0" applyFont="1" applyAlignment="1">
      <alignment horizontal="center" vertical="center" wrapText="1"/>
    </xf>
    <xf numFmtId="3" fontId="21" fillId="0" borderId="0" xfId="0" applyNumberFormat="1" applyFont="1" applyAlignment="1">
      <alignment horizontal="center" vertical="center" wrapText="1"/>
    </xf>
    <xf numFmtId="0" fontId="15" fillId="0" borderId="0" xfId="0" applyFont="1" applyAlignment="1">
      <alignment horizontal="center" vertical="center" wrapText="1"/>
    </xf>
    <xf numFmtId="0" fontId="17" fillId="0" borderId="0" xfId="0" applyFont="1" applyAlignment="1">
      <alignment horizontal="center" wrapText="1"/>
    </xf>
    <xf numFmtId="14" fontId="21" fillId="0" borderId="0" xfId="0" applyNumberFormat="1" applyFont="1" applyBorder="1" applyAlignment="1">
      <alignment horizontal="center" vertical="center" wrapText="1"/>
    </xf>
    <xf numFmtId="164" fontId="17" fillId="0" borderId="0" xfId="0" applyNumberFormat="1" applyFont="1" applyAlignment="1">
      <alignment wrapText="1"/>
    </xf>
    <xf numFmtId="0" fontId="2" fillId="0" borderId="0" xfId="0" applyFont="1"/>
    <xf numFmtId="0" fontId="23" fillId="0" borderId="0" xfId="0" applyFont="1"/>
    <xf numFmtId="0" fontId="2" fillId="0" borderId="0" xfId="0" applyFont="1"/>
    <xf numFmtId="0" fontId="24" fillId="8" borderId="12" xfId="0" applyFont="1" applyFill="1" applyBorder="1" applyAlignment="1">
      <alignment horizontal="center" vertical="center"/>
    </xf>
    <xf numFmtId="0" fontId="24" fillId="8" borderId="12" xfId="0" applyFont="1" applyFill="1" applyBorder="1" applyAlignment="1">
      <alignment horizontal="center" vertical="center" wrapText="1"/>
    </xf>
    <xf numFmtId="0" fontId="23" fillId="0" borderId="0" xfId="0" applyFont="1" applyAlignment="1">
      <alignment horizontal="center" vertical="center"/>
    </xf>
    <xf numFmtId="0" fontId="23" fillId="10" borderId="0" xfId="0" applyFont="1" applyFill="1" applyAlignment="1">
      <alignment horizontal="center" vertical="center" wrapText="1"/>
    </xf>
    <xf numFmtId="0" fontId="23" fillId="0" borderId="0" xfId="0" applyFont="1" applyAlignment="1">
      <alignment horizontal="center" vertical="center" wrapText="1"/>
    </xf>
    <xf numFmtId="0" fontId="23" fillId="10" borderId="0" xfId="0" applyFont="1" applyFill="1" applyAlignment="1">
      <alignment horizontal="center" vertical="center"/>
    </xf>
    <xf numFmtId="49" fontId="23" fillId="0" borderId="0" xfId="0" applyNumberFormat="1" applyFont="1" applyAlignment="1">
      <alignment horizontal="center" vertical="center"/>
    </xf>
    <xf numFmtId="0" fontId="24" fillId="0" borderId="0" xfId="0" applyFont="1" applyAlignment="1">
      <alignment vertical="center"/>
    </xf>
    <xf numFmtId="0" fontId="24" fillId="8" borderId="0" xfId="0" applyFont="1" applyFill="1" applyAlignment="1">
      <alignment horizontal="center" vertical="center"/>
    </xf>
    <xf numFmtId="165" fontId="24" fillId="8" borderId="0" xfId="0" applyNumberFormat="1" applyFont="1" applyFill="1" applyAlignment="1">
      <alignment horizontal="center" vertical="center"/>
    </xf>
    <xf numFmtId="0" fontId="23" fillId="0" borderId="0" xfId="0" applyFont="1" applyAlignment="1">
      <alignment horizontal="center"/>
    </xf>
    <xf numFmtId="164" fontId="27" fillId="2" borderId="0" xfId="0" applyNumberFormat="1" applyFont="1" applyFill="1" applyAlignment="1">
      <alignment horizontal="center"/>
    </xf>
    <xf numFmtId="0" fontId="9" fillId="0" borderId="0" xfId="0" applyFont="1" applyAlignment="1">
      <alignment horizontal="center" vertical="center" wrapText="1"/>
    </xf>
    <xf numFmtId="0" fontId="16" fillId="11" borderId="1" xfId="0" applyFont="1" applyFill="1" applyBorder="1" applyAlignment="1">
      <alignment horizontal="center" vertical="center" wrapText="1"/>
    </xf>
    <xf numFmtId="164" fontId="16" fillId="2" borderId="0" xfId="0" applyNumberFormat="1" applyFont="1" applyFill="1" applyAlignment="1">
      <alignment horizontal="center"/>
    </xf>
    <xf numFmtId="0" fontId="16" fillId="0" borderId="0" xfId="0" applyFont="1" applyFill="1" applyAlignment="1"/>
    <xf numFmtId="0" fontId="2" fillId="0" borderId="0" xfId="0" applyFont="1" applyAlignment="1">
      <alignment horizontal="left"/>
    </xf>
    <xf numFmtId="0" fontId="25" fillId="0" borderId="0" xfId="0" applyFont="1" applyAlignment="1">
      <alignment horizontal="center"/>
    </xf>
    <xf numFmtId="0" fontId="26" fillId="0" borderId="0" xfId="0" applyFont="1" applyAlignment="1">
      <alignment horizontal="center" vertical="center" wrapText="1"/>
    </xf>
    <xf numFmtId="0" fontId="25" fillId="0" borderId="0" xfId="0" applyFont="1"/>
    <xf numFmtId="0" fontId="9" fillId="0" borderId="0" xfId="0" applyFont="1"/>
    <xf numFmtId="0" fontId="9" fillId="0" borderId="0" xfId="0" applyFont="1" applyAlignment="1">
      <alignment horizontal="center" vertical="center"/>
    </xf>
    <xf numFmtId="164" fontId="9" fillId="0" borderId="0" xfId="0" applyNumberFormat="1" applyFont="1" applyAlignment="1">
      <alignment horizontal="center" vertical="center" wrapText="1"/>
    </xf>
    <xf numFmtId="165" fontId="1" fillId="0" borderId="0" xfId="0" applyNumberFormat="1" applyFont="1" applyAlignment="1">
      <alignment horizontal="center" vertical="center"/>
    </xf>
    <xf numFmtId="0" fontId="28" fillId="0" borderId="0" xfId="0" applyFont="1"/>
    <xf numFmtId="0" fontId="0" fillId="0" borderId="0" xfId="0" applyAlignment="1">
      <alignment vertic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164" fontId="32"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0" fontId="29" fillId="4" borderId="1" xfId="0" applyFont="1" applyFill="1" applyBorder="1" applyAlignment="1">
      <alignment horizontal="center" vertical="center" wrapText="1"/>
    </xf>
    <xf numFmtId="165" fontId="30" fillId="9" borderId="1" xfId="0" applyNumberFormat="1" applyFont="1" applyFill="1" applyBorder="1" applyAlignment="1">
      <alignment horizontal="center" vertical="center"/>
    </xf>
    <xf numFmtId="0" fontId="29" fillId="0" borderId="1" xfId="0" applyFont="1" applyBorder="1" applyAlignment="1">
      <alignment vertical="center" wrapText="1"/>
    </xf>
    <xf numFmtId="164" fontId="29" fillId="6" borderId="1" xfId="0" applyNumberFormat="1" applyFont="1" applyFill="1" applyBorder="1" applyAlignment="1">
      <alignment horizontal="center" vertical="center" wrapText="1"/>
    </xf>
    <xf numFmtId="0" fontId="32" fillId="0" borderId="1" xfId="0" applyFont="1" applyBorder="1" applyAlignment="1">
      <alignment horizontal="center" vertical="center" wrapText="1"/>
    </xf>
    <xf numFmtId="165" fontId="30"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6" fillId="0" borderId="1" xfId="0" applyNumberFormat="1" applyFont="1" applyFill="1" applyBorder="1" applyAlignment="1">
      <alignment horizontal="center" vertical="center" wrapText="1"/>
    </xf>
    <xf numFmtId="0" fontId="17" fillId="0" borderId="1" xfId="0" applyFont="1" applyBorder="1" applyAlignment="1">
      <alignment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16" fillId="0" borderId="0" xfId="0" applyFont="1" applyAlignment="1">
      <alignment horizontal="center" vertical="center" wrapText="1"/>
    </xf>
    <xf numFmtId="0" fontId="29" fillId="0" borderId="1" xfId="0" applyFont="1" applyFill="1" applyBorder="1" applyAlignment="1">
      <alignment horizontal="center" vertical="center"/>
    </xf>
    <xf numFmtId="0" fontId="30" fillId="0"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0" xfId="0" applyFont="1"/>
    <xf numFmtId="14" fontId="17" fillId="0" borderId="1" xfId="0" applyNumberFormat="1" applyFont="1" applyBorder="1" applyAlignment="1">
      <alignment horizontal="center" vertical="center" wrapText="1"/>
    </xf>
    <xf numFmtId="0" fontId="0" fillId="0" borderId="0" xfId="0" applyAlignment="1">
      <alignment horizontal="center"/>
    </xf>
    <xf numFmtId="0" fontId="16" fillId="13" borderId="1" xfId="0" applyFont="1" applyFill="1" applyBorder="1" applyAlignment="1">
      <alignment horizontal="center" vertical="center"/>
    </xf>
    <xf numFmtId="0" fontId="16" fillId="13" borderId="1" xfId="0" applyFont="1" applyFill="1" applyBorder="1" applyAlignment="1">
      <alignment horizontal="center" vertical="center" wrapText="1"/>
    </xf>
    <xf numFmtId="4" fontId="16" fillId="14" borderId="1" xfId="0" applyNumberFormat="1"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7" borderId="1" xfId="0" applyFont="1" applyFill="1" applyBorder="1" applyAlignment="1">
      <alignment horizontal="center" vertical="center"/>
    </xf>
    <xf numFmtId="0" fontId="17" fillId="7" borderId="1" xfId="0" applyFont="1" applyFill="1" applyBorder="1" applyAlignment="1">
      <alignment horizontal="left" vertical="center"/>
    </xf>
    <xf numFmtId="0" fontId="17" fillId="7" borderId="1" xfId="0" applyFont="1" applyFill="1" applyBorder="1" applyAlignment="1">
      <alignment horizontal="left" vertical="center" wrapText="1"/>
    </xf>
    <xf numFmtId="14" fontId="17"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4" fontId="17" fillId="7" borderId="1" xfId="0" applyNumberFormat="1" applyFont="1" applyFill="1" applyBorder="1" applyAlignment="1">
      <alignment horizontal="center" vertical="center" wrapText="1"/>
    </xf>
    <xf numFmtId="164" fontId="17" fillId="7" borderId="1" xfId="0" applyNumberFormat="1" applyFont="1" applyFill="1" applyBorder="1" applyAlignment="1">
      <alignment horizontal="center" vertical="center"/>
    </xf>
    <xf numFmtId="0" fontId="17" fillId="0" borderId="1" xfId="0" applyFont="1" applyBorder="1" applyAlignment="1">
      <alignment horizontal="left" vertical="center"/>
    </xf>
    <xf numFmtId="0" fontId="22" fillId="0" borderId="1" xfId="0" applyFont="1" applyBorder="1" applyAlignment="1">
      <alignment horizontal="center" vertical="center"/>
    </xf>
    <xf numFmtId="0" fontId="22" fillId="0" borderId="1" xfId="0" applyFont="1" applyBorder="1" applyAlignment="1">
      <alignment horizontal="left" vertical="center"/>
    </xf>
    <xf numFmtId="14" fontId="17" fillId="0" borderId="1" xfId="0" applyNumberFormat="1" applyFont="1" applyBorder="1" applyAlignment="1">
      <alignment horizontal="center" vertical="center"/>
    </xf>
    <xf numFmtId="0" fontId="17" fillId="0" borderId="1" xfId="0" applyFont="1" applyBorder="1" applyAlignment="1">
      <alignment horizontal="left" vertical="center" wrapText="1"/>
    </xf>
    <xf numFmtId="1" fontId="17" fillId="0" borderId="1" xfId="0" applyNumberFormat="1" applyFont="1" applyBorder="1" applyAlignment="1">
      <alignment horizontal="center" vertical="center" wrapText="1"/>
    </xf>
    <xf numFmtId="1" fontId="17" fillId="0" borderId="1" xfId="0" applyNumberFormat="1" applyFont="1" applyBorder="1" applyAlignment="1">
      <alignment horizontal="center" vertical="center"/>
    </xf>
    <xf numFmtId="0" fontId="17" fillId="3" borderId="1" xfId="0" applyFont="1" applyFill="1" applyBorder="1" applyAlignment="1">
      <alignment horizontal="center" vertical="center"/>
    </xf>
    <xf numFmtId="0" fontId="17" fillId="3" borderId="1" xfId="0" applyFont="1" applyFill="1" applyBorder="1" applyAlignment="1">
      <alignment horizontal="left" vertical="center" wrapText="1"/>
    </xf>
    <xf numFmtId="0" fontId="17" fillId="3" borderId="1" xfId="0" applyFont="1" applyFill="1" applyBorder="1" applyAlignment="1">
      <alignment horizontal="left" vertical="center"/>
    </xf>
    <xf numFmtId="14" fontId="17" fillId="3" borderId="1" xfId="0" applyNumberFormat="1" applyFont="1" applyFill="1" applyBorder="1" applyAlignment="1">
      <alignment horizontal="center" vertical="center"/>
    </xf>
    <xf numFmtId="0" fontId="17" fillId="3" borderId="1" xfId="0" applyFont="1" applyFill="1" applyBorder="1" applyAlignment="1">
      <alignment horizontal="center" vertical="center" wrapText="1"/>
    </xf>
    <xf numFmtId="2" fontId="17" fillId="0" borderId="1" xfId="0" applyNumberFormat="1" applyFont="1" applyBorder="1" applyAlignment="1">
      <alignment horizontal="center" vertical="center"/>
    </xf>
    <xf numFmtId="14" fontId="22" fillId="0" borderId="1" xfId="0" applyNumberFormat="1" applyFont="1" applyBorder="1" applyAlignment="1">
      <alignment horizontal="center" vertical="center"/>
    </xf>
    <xf numFmtId="4" fontId="17" fillId="0" borderId="1" xfId="0" applyNumberFormat="1" applyFont="1" applyBorder="1" applyAlignment="1">
      <alignment horizontal="center" vertical="center"/>
    </xf>
    <xf numFmtId="14" fontId="17" fillId="3" borderId="1" xfId="0" applyNumberFormat="1" applyFont="1" applyFill="1" applyBorder="1" applyAlignment="1">
      <alignment horizontal="center" vertical="center" wrapText="1"/>
    </xf>
    <xf numFmtId="2" fontId="17" fillId="3" borderId="1" xfId="0" applyNumberFormat="1" applyFont="1" applyFill="1" applyBorder="1" applyAlignment="1">
      <alignment horizontal="center" vertical="center"/>
    </xf>
    <xf numFmtId="1" fontId="22" fillId="0" borderId="1" xfId="0" applyNumberFormat="1" applyFont="1" applyBorder="1" applyAlignment="1">
      <alignment horizontal="center" vertical="center"/>
    </xf>
    <xf numFmtId="0" fontId="17" fillId="12" borderId="1" xfId="0" applyFont="1" applyFill="1" applyBorder="1" applyAlignment="1">
      <alignment horizontal="center" vertical="center"/>
    </xf>
    <xf numFmtId="0" fontId="17" fillId="12" borderId="1" xfId="0" applyFont="1" applyFill="1" applyBorder="1" applyAlignment="1">
      <alignment horizontal="left" vertical="center" wrapText="1"/>
    </xf>
    <xf numFmtId="0" fontId="17" fillId="12" borderId="1" xfId="0" applyFont="1" applyFill="1" applyBorder="1" applyAlignment="1">
      <alignment horizontal="left" vertical="center"/>
    </xf>
    <xf numFmtId="14" fontId="17" fillId="12" borderId="1" xfId="0" applyNumberFormat="1" applyFont="1" applyFill="1" applyBorder="1" applyAlignment="1">
      <alignment horizontal="center" vertical="center"/>
    </xf>
    <xf numFmtId="0" fontId="17" fillId="12" borderId="1" xfId="0" applyFont="1" applyFill="1" applyBorder="1" applyAlignment="1">
      <alignment horizontal="center" vertical="center" wrapText="1"/>
    </xf>
    <xf numFmtId="0" fontId="17" fillId="0" borderId="1" xfId="0" applyFont="1" applyBorder="1" applyAlignment="1">
      <alignment vertical="center"/>
    </xf>
    <xf numFmtId="4" fontId="17" fillId="3" borderId="1" xfId="0" applyNumberFormat="1" applyFont="1" applyFill="1" applyBorder="1" applyAlignment="1">
      <alignment horizontal="center" vertical="center"/>
    </xf>
    <xf numFmtId="2" fontId="17" fillId="3" borderId="1" xfId="0" applyNumberFormat="1" applyFont="1" applyFill="1" applyBorder="1" applyAlignment="1">
      <alignment horizontal="center" vertical="center" wrapText="1"/>
    </xf>
    <xf numFmtId="1" fontId="17" fillId="12" borderId="1" xfId="0" applyNumberFormat="1" applyFont="1" applyFill="1" applyBorder="1" applyAlignment="1">
      <alignment horizontal="center" vertical="center"/>
    </xf>
    <xf numFmtId="14" fontId="17" fillId="12" borderId="1" xfId="0" applyNumberFormat="1" applyFont="1" applyFill="1" applyBorder="1" applyAlignment="1">
      <alignment horizontal="center" vertical="center" wrapText="1"/>
    </xf>
    <xf numFmtId="4" fontId="17" fillId="12" borderId="1" xfId="0" applyNumberFormat="1" applyFont="1" applyFill="1" applyBorder="1" applyAlignment="1">
      <alignment horizontal="center" vertical="center"/>
    </xf>
    <xf numFmtId="14" fontId="17" fillId="7" borderId="1" xfId="0" applyNumberFormat="1" applyFont="1" applyFill="1" applyBorder="1" applyAlignment="1">
      <alignment horizontal="center" vertical="center"/>
    </xf>
    <xf numFmtId="1" fontId="17" fillId="7" borderId="1" xfId="0" applyNumberFormat="1" applyFont="1" applyFill="1" applyBorder="1" applyAlignment="1">
      <alignment horizontal="center" vertical="center"/>
    </xf>
    <xf numFmtId="4" fontId="17" fillId="7" borderId="1" xfId="0" applyNumberFormat="1" applyFont="1" applyFill="1" applyBorder="1" applyAlignment="1">
      <alignment horizontal="center" vertical="center"/>
    </xf>
    <xf numFmtId="1" fontId="17" fillId="3" borderId="1" xfId="0" applyNumberFormat="1" applyFont="1" applyFill="1" applyBorder="1" applyAlignment="1">
      <alignment horizontal="center" vertical="center"/>
    </xf>
    <xf numFmtId="0" fontId="17" fillId="3" borderId="1" xfId="0" applyFont="1" applyFill="1" applyBorder="1" applyAlignment="1">
      <alignment vertical="center"/>
    </xf>
    <xf numFmtId="2" fontId="17"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49" fontId="17" fillId="0" borderId="1" xfId="0" applyNumberFormat="1" applyFont="1" applyBorder="1" applyAlignment="1">
      <alignment horizontal="center" vertical="center"/>
    </xf>
    <xf numFmtId="0" fontId="17" fillId="16" borderId="13" xfId="0" applyFont="1" applyFill="1" applyBorder="1" applyAlignment="1">
      <alignment horizontal="center" vertical="center" wrapText="1"/>
    </xf>
    <xf numFmtId="0" fontId="21" fillId="0" borderId="16" xfId="0" applyFont="1" applyBorder="1" applyAlignment="1">
      <alignment vertical="center"/>
    </xf>
    <xf numFmtId="0" fontId="21" fillId="0" borderId="0" xfId="0" applyFont="1" applyAlignment="1">
      <alignment vertical="center"/>
    </xf>
    <xf numFmtId="0" fontId="17" fillId="17" borderId="13" xfId="0" applyFont="1" applyFill="1" applyBorder="1" applyAlignment="1">
      <alignment horizontal="center" vertical="center" wrapText="1"/>
    </xf>
    <xf numFmtId="0" fontId="17" fillId="18" borderId="13" xfId="0" applyFont="1" applyFill="1" applyBorder="1" applyAlignment="1">
      <alignment horizontal="center" vertical="center" wrapText="1"/>
    </xf>
    <xf numFmtId="0" fontId="17" fillId="0" borderId="0" xfId="0" applyFont="1" applyAlignment="1">
      <alignment horizontal="left" vertical="center"/>
    </xf>
    <xf numFmtId="0" fontId="16" fillId="0" borderId="0" xfId="0" applyFont="1" applyAlignment="1">
      <alignment vertical="center" wrapText="1"/>
    </xf>
    <xf numFmtId="0" fontId="16" fillId="13" borderId="9" xfId="0" applyFont="1" applyFill="1" applyBorder="1" applyAlignment="1">
      <alignment horizontal="center" vertical="center"/>
    </xf>
    <xf numFmtId="0" fontId="16" fillId="13" borderId="9" xfId="0" applyFont="1" applyFill="1" applyBorder="1" applyAlignment="1">
      <alignment horizontal="center" vertical="center" wrapText="1"/>
    </xf>
    <xf numFmtId="4" fontId="16" fillId="14" borderId="9" xfId="0" applyNumberFormat="1" applyFont="1" applyFill="1" applyBorder="1" applyAlignment="1">
      <alignment horizontal="center" vertical="center" wrapText="1"/>
    </xf>
    <xf numFmtId="0" fontId="16" fillId="14" borderId="9" xfId="0" applyFont="1" applyFill="1" applyBorder="1" applyAlignment="1">
      <alignment horizontal="center" vertical="center" wrapText="1"/>
    </xf>
    <xf numFmtId="0" fontId="16" fillId="15" borderId="9" xfId="0" applyFont="1" applyFill="1" applyBorder="1" applyAlignment="1">
      <alignment horizontal="center" vertical="center" wrapText="1"/>
    </xf>
    <xf numFmtId="0" fontId="22" fillId="0" borderId="1" xfId="0" applyFont="1" applyBorder="1" applyAlignment="1">
      <alignment horizontal="left" vertical="center" wrapText="1"/>
    </xf>
    <xf numFmtId="0" fontId="16" fillId="13" borderId="2" xfId="0" applyFont="1" applyFill="1" applyBorder="1" applyAlignment="1">
      <alignment horizontal="center" vertical="center"/>
    </xf>
    <xf numFmtId="0" fontId="16" fillId="13" borderId="2" xfId="0" applyFont="1" applyFill="1" applyBorder="1" applyAlignment="1">
      <alignment horizontal="center" vertical="center" wrapText="1"/>
    </xf>
    <xf numFmtId="4" fontId="16" fillId="14" borderId="2" xfId="0" applyNumberFormat="1" applyFont="1" applyFill="1" applyBorder="1" applyAlignment="1">
      <alignment horizontal="center" vertical="center" wrapText="1"/>
    </xf>
    <xf numFmtId="0" fontId="16" fillId="14"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164" fontId="17" fillId="0" borderId="1" xfId="0" applyNumberFormat="1" applyFont="1" applyBorder="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center" vertical="center"/>
    </xf>
    <xf numFmtId="49" fontId="17" fillId="0" borderId="0" xfId="0" applyNumberFormat="1" applyFont="1" applyAlignment="1">
      <alignment horizontal="center" vertical="center" wrapText="1"/>
    </xf>
    <xf numFmtId="0" fontId="17" fillId="0" borderId="0" xfId="0"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wrapText="1"/>
    </xf>
    <xf numFmtId="0" fontId="21" fillId="0" borderId="0" xfId="0" applyFont="1" applyAlignment="1">
      <alignment horizontal="center" vertical="center"/>
    </xf>
    <xf numFmtId="0" fontId="17" fillId="0" borderId="0" xfId="0" applyFont="1" applyAlignment="1">
      <alignment vertical="center"/>
    </xf>
    <xf numFmtId="0" fontId="16" fillId="0" borderId="0" xfId="0" applyFont="1"/>
    <xf numFmtId="3" fontId="17" fillId="0" borderId="0" xfId="0" applyNumberFormat="1" applyFont="1" applyAlignment="1">
      <alignment horizontal="center" vertical="center" wrapText="1"/>
    </xf>
    <xf numFmtId="166" fontId="17" fillId="0" borderId="0" xfId="0" applyNumberFormat="1" applyFont="1" applyAlignment="1">
      <alignment horizontal="center" vertical="center" wrapText="1"/>
    </xf>
    <xf numFmtId="164" fontId="16" fillId="0" borderId="0" xfId="0" applyNumberFormat="1" applyFont="1" applyAlignment="1">
      <alignment horizontal="center" vertical="center" wrapText="1"/>
    </xf>
    <xf numFmtId="49" fontId="17" fillId="0" borderId="0" xfId="0" applyNumberFormat="1" applyFont="1" applyAlignment="1">
      <alignment horizontal="center" vertical="center"/>
    </xf>
    <xf numFmtId="165" fontId="16" fillId="3" borderId="0" xfId="0" applyNumberFormat="1" applyFont="1" applyFill="1" applyAlignment="1">
      <alignment horizontal="center" vertical="center"/>
    </xf>
    <xf numFmtId="164" fontId="16" fillId="3" borderId="0" xfId="0" applyNumberFormat="1" applyFont="1" applyFill="1" applyAlignment="1">
      <alignment horizontal="center" vertical="center"/>
    </xf>
    <xf numFmtId="0" fontId="17" fillId="4" borderId="0" xfId="0" applyFont="1" applyFill="1"/>
    <xf numFmtId="0" fontId="15" fillId="2" borderId="6"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21" fillId="0" borderId="0" xfId="0" applyFont="1" applyBorder="1" applyAlignment="1">
      <alignment horizontal="center" vertical="center"/>
    </xf>
    <xf numFmtId="3" fontId="21" fillId="0" borderId="0" xfId="3" applyNumberFormat="1" applyFont="1" applyBorder="1" applyAlignment="1">
      <alignment horizontal="center" vertical="center"/>
    </xf>
    <xf numFmtId="0" fontId="15" fillId="0" borderId="0" xfId="0" applyFont="1" applyBorder="1" applyAlignment="1">
      <alignment horizontal="center" vertical="center" wrapText="1"/>
    </xf>
    <xf numFmtId="0" fontId="21" fillId="0" borderId="0" xfId="0" applyFont="1" applyBorder="1" applyAlignment="1">
      <alignment horizontal="center" vertical="center" wrapText="1"/>
    </xf>
    <xf numFmtId="49" fontId="21" fillId="0" borderId="0" xfId="0" applyNumberFormat="1" applyFont="1" applyBorder="1" applyAlignment="1">
      <alignment horizontal="center" vertical="center" wrapText="1"/>
    </xf>
    <xf numFmtId="164" fontId="21" fillId="0" borderId="0" xfId="0" applyNumberFormat="1" applyFont="1" applyBorder="1" applyAlignment="1">
      <alignment horizontal="center" vertical="center" wrapText="1"/>
    </xf>
    <xf numFmtId="0" fontId="37" fillId="0" borderId="0" xfId="0" applyFont="1" applyBorder="1" applyAlignment="1">
      <alignment horizontal="center" vertical="center" wrapText="1"/>
    </xf>
    <xf numFmtId="0" fontId="21" fillId="0" borderId="1" xfId="0" applyFont="1" applyFill="1" applyBorder="1" applyAlignment="1">
      <alignment horizontal="center" vertical="center" wrapText="1"/>
    </xf>
    <xf numFmtId="14" fontId="21"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2" fontId="21" fillId="0" borderId="1" xfId="0" applyNumberFormat="1" applyFont="1" applyFill="1" applyBorder="1" applyAlignment="1">
      <alignment horizontal="center" vertical="center" wrapText="1"/>
    </xf>
    <xf numFmtId="164" fontId="15" fillId="0" borderId="1" xfId="0" applyNumberFormat="1" applyFont="1" applyFill="1" applyBorder="1" applyAlignment="1">
      <alignment horizontal="center" vertical="center" wrapText="1"/>
    </xf>
    <xf numFmtId="3" fontId="21"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xf>
    <xf numFmtId="2" fontId="21"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165" fontId="16" fillId="3" borderId="0" xfId="0" applyNumberFormat="1" applyFont="1" applyFill="1" applyAlignment="1">
      <alignment horizontal="center"/>
    </xf>
    <xf numFmtId="3" fontId="21"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21" fillId="0" borderId="1" xfId="0" applyFont="1" applyBorder="1" applyAlignment="1">
      <alignment horizontal="center" vertical="center"/>
    </xf>
    <xf numFmtId="164" fontId="21" fillId="6"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164" fontId="15" fillId="2" borderId="0" xfId="0" applyNumberFormat="1" applyFont="1" applyFill="1" applyAlignment="1">
      <alignment horizontal="center"/>
    </xf>
    <xf numFmtId="0" fontId="21" fillId="0" borderId="1" xfId="0" applyFont="1" applyFill="1" applyBorder="1" applyAlignment="1">
      <alignment horizontal="center" vertical="center"/>
    </xf>
    <xf numFmtId="0" fontId="34" fillId="0" borderId="1" xfId="36" applyFont="1" applyFill="1" applyBorder="1" applyAlignment="1">
      <alignment vertical="center" wrapText="1"/>
    </xf>
    <xf numFmtId="14" fontId="20" fillId="0" borderId="1" xfId="0" applyNumberFormat="1" applyFont="1" applyFill="1" applyBorder="1" applyAlignment="1">
      <alignment horizontal="center" vertical="center" wrapText="1"/>
    </xf>
    <xf numFmtId="49" fontId="20" fillId="0" borderId="1" xfId="0" applyNumberFormat="1" applyFont="1" applyFill="1" applyBorder="1" applyAlignment="1">
      <alignment horizontal="center" vertical="center" wrapText="1"/>
    </xf>
    <xf numFmtId="164" fontId="21" fillId="0" borderId="1" xfId="0" applyNumberFormat="1" applyFont="1" applyBorder="1" applyAlignment="1">
      <alignment horizontal="center" vertical="center" wrapText="1"/>
    </xf>
    <xf numFmtId="0" fontId="21" fillId="6" borderId="1" xfId="0" applyFont="1" applyFill="1" applyBorder="1" applyAlignment="1">
      <alignment horizontal="center" vertical="center" wrapText="1"/>
    </xf>
    <xf numFmtId="0" fontId="17" fillId="0" borderId="1" xfId="0" applyFont="1" applyBorder="1"/>
    <xf numFmtId="0" fontId="16" fillId="0" borderId="0" xfId="0" applyFont="1" applyFill="1" applyAlignment="1">
      <alignment horizontal="center" vertical="center"/>
    </xf>
    <xf numFmtId="165" fontId="16" fillId="0" borderId="0" xfId="0" applyNumberFormat="1" applyFont="1" applyFill="1" applyAlignment="1">
      <alignment horizontal="center"/>
    </xf>
    <xf numFmtId="0" fontId="17" fillId="0" borderId="1" xfId="0" applyFont="1" applyBorder="1" applyAlignment="1">
      <alignment horizontal="center"/>
    </xf>
    <xf numFmtId="164" fontId="21" fillId="0"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0" fontId="21" fillId="3" borderId="1" xfId="0" applyFont="1" applyFill="1" applyBorder="1" applyAlignment="1">
      <alignment horizontal="center" vertical="center" wrapText="1"/>
    </xf>
    <xf numFmtId="164" fontId="21" fillId="3" borderId="1" xfId="0" applyNumberFormat="1" applyFont="1" applyFill="1" applyBorder="1" applyAlignment="1">
      <alignment horizontal="center" vertical="center" wrapText="1"/>
    </xf>
    <xf numFmtId="164"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14" fontId="17" fillId="0" borderId="1" xfId="0" applyNumberFormat="1" applyFont="1" applyFill="1" applyBorder="1" applyAlignment="1">
      <alignment horizontal="center" vertical="center" wrapText="1"/>
    </xf>
    <xf numFmtId="49" fontId="17" fillId="0" borderId="1" xfId="0" applyNumberFormat="1" applyFont="1" applyFill="1" applyBorder="1" applyAlignment="1">
      <alignment horizontal="center" vertical="center" wrapText="1"/>
    </xf>
    <xf numFmtId="0" fontId="17" fillId="0" borderId="1" xfId="0" applyFont="1" applyFill="1" applyBorder="1" applyAlignment="1">
      <alignment vertical="center" wrapText="1"/>
    </xf>
    <xf numFmtId="0" fontId="21" fillId="0" borderId="2"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21" fillId="0" borderId="12" xfId="0" applyFont="1" applyFill="1" applyBorder="1" applyAlignment="1">
      <alignment horizontal="center" vertical="center"/>
    </xf>
    <xf numFmtId="164" fontId="21" fillId="0" borderId="2" xfId="0" applyNumberFormat="1" applyFont="1" applyFill="1" applyBorder="1" applyAlignment="1">
      <alignment horizontal="center" vertical="center" wrapText="1"/>
    </xf>
    <xf numFmtId="3" fontId="9" fillId="0" borderId="10" xfId="0" applyNumberFormat="1" applyFont="1" applyBorder="1" applyAlignment="1">
      <alignment horizontal="center" vertical="center" wrapText="1"/>
    </xf>
    <xf numFmtId="3" fontId="9" fillId="0" borderId="1" xfId="3" applyNumberFormat="1" applyFont="1" applyBorder="1" applyAlignment="1">
      <alignment horizontal="center" vertical="center"/>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9" fillId="0" borderId="1" xfId="3" applyFont="1" applyBorder="1" applyAlignment="1">
      <alignment horizontal="center" vertical="center" wrapText="1"/>
    </xf>
    <xf numFmtId="0" fontId="9" fillId="0" borderId="1" xfId="0" applyFont="1" applyBorder="1" applyAlignment="1">
      <alignment horizontal="center" vertical="center" wrapText="1"/>
    </xf>
    <xf numFmtId="3" fontId="9" fillId="0" borderId="2" xfId="3" applyNumberFormat="1" applyFont="1" applyBorder="1" applyAlignment="1">
      <alignment horizontal="center" vertical="center"/>
    </xf>
    <xf numFmtId="0" fontId="1" fillId="0" borderId="2" xfId="0" applyFont="1" applyBorder="1" applyAlignment="1">
      <alignment horizontal="center" vertical="center" wrapText="1"/>
    </xf>
    <xf numFmtId="0" fontId="20" fillId="0" borderId="2" xfId="0" applyFont="1" applyFill="1" applyBorder="1" applyAlignment="1">
      <alignment horizontal="center" vertical="center" wrapText="1"/>
    </xf>
    <xf numFmtId="166" fontId="21" fillId="0" borderId="1" xfId="0" applyNumberFormat="1" applyFont="1" applyBorder="1" applyAlignment="1">
      <alignment horizontal="center" vertical="center" wrapText="1"/>
    </xf>
    <xf numFmtId="0" fontId="17" fillId="0" borderId="0" xfId="0" applyFont="1" applyFill="1" applyBorder="1" applyAlignment="1">
      <alignment horizontal="center" vertical="center" wrapText="1"/>
    </xf>
    <xf numFmtId="166" fontId="21" fillId="0" borderId="1" xfId="0" applyNumberFormat="1" applyFont="1" applyFill="1" applyBorder="1" applyAlignment="1">
      <alignment horizontal="center" vertical="center" wrapText="1"/>
    </xf>
    <xf numFmtId="0" fontId="35" fillId="0" borderId="1" xfId="0" applyFont="1" applyFill="1" applyBorder="1" applyAlignment="1">
      <alignment horizontal="center" vertical="center" wrapText="1"/>
    </xf>
    <xf numFmtId="0" fontId="21" fillId="0" borderId="6" xfId="0" applyFont="1" applyBorder="1" applyAlignment="1">
      <alignment horizontal="center" vertical="center" wrapText="1"/>
    </xf>
    <xf numFmtId="0" fontId="15" fillId="0" borderId="8" xfId="0" applyFont="1" applyBorder="1" applyAlignment="1">
      <alignment horizontal="center" vertical="center" wrapText="1"/>
    </xf>
    <xf numFmtId="0" fontId="21" fillId="0" borderId="8" xfId="0" applyFont="1" applyBorder="1" applyAlignment="1">
      <alignment horizontal="center" vertical="center" wrapText="1"/>
    </xf>
    <xf numFmtId="0" fontId="38" fillId="0" borderId="1" xfId="0" applyFont="1" applyFill="1" applyBorder="1" applyAlignment="1">
      <alignment horizontal="center" vertical="center" wrapText="1"/>
    </xf>
    <xf numFmtId="14" fontId="21" fillId="0" borderId="2" xfId="0" applyNumberFormat="1" applyFont="1" applyFill="1" applyBorder="1" applyAlignment="1">
      <alignment horizontal="center" vertical="center" wrapText="1"/>
    </xf>
    <xf numFmtId="3" fontId="21" fillId="0" borderId="2" xfId="0" applyNumberFormat="1" applyFont="1" applyFill="1" applyBorder="1" applyAlignment="1">
      <alignment horizontal="center" vertical="center" wrapText="1"/>
    </xf>
    <xf numFmtId="0" fontId="15" fillId="0" borderId="2" xfId="0" applyFont="1" applyFill="1" applyBorder="1" applyAlignment="1">
      <alignment horizontal="center" vertical="center" wrapText="1"/>
    </xf>
    <xf numFmtId="2" fontId="21" fillId="0" borderId="2" xfId="0" applyNumberFormat="1" applyFont="1" applyFill="1" applyBorder="1" applyAlignment="1">
      <alignment horizontal="center" vertical="center" wrapText="1"/>
    </xf>
    <xf numFmtId="164" fontId="15" fillId="0" borderId="2" xfId="0" applyNumberFormat="1" applyFont="1" applyFill="1" applyBorder="1" applyAlignment="1">
      <alignment horizontal="center" vertical="center" wrapText="1"/>
    </xf>
    <xf numFmtId="0" fontId="17" fillId="3" borderId="1" xfId="0" applyFont="1" applyFill="1" applyBorder="1" applyAlignment="1">
      <alignment vertical="center" wrapText="1"/>
    </xf>
    <xf numFmtId="0" fontId="34" fillId="3" borderId="1" xfId="36" applyFont="1" applyFill="1" applyBorder="1" applyAlignment="1">
      <alignment vertical="center" wrapText="1"/>
    </xf>
    <xf numFmtId="0" fontId="16" fillId="3" borderId="1" xfId="0" applyFont="1" applyFill="1" applyBorder="1" applyAlignment="1">
      <alignment horizontal="center" vertical="center" wrapText="1"/>
    </xf>
    <xf numFmtId="0" fontId="17" fillId="3" borderId="0" xfId="0" applyFont="1" applyFill="1" applyAlignment="1">
      <alignment horizontal="center" vertical="center"/>
    </xf>
    <xf numFmtId="164" fontId="16" fillId="3" borderId="1" xfId="0" applyNumberFormat="1" applyFont="1" applyFill="1" applyBorder="1" applyAlignment="1">
      <alignment horizontal="center" vertical="center" wrapText="1"/>
    </xf>
    <xf numFmtId="49" fontId="17" fillId="3"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xf>
    <xf numFmtId="0" fontId="20" fillId="0" borderId="1" xfId="0" applyFont="1" applyFill="1" applyBorder="1" applyAlignment="1">
      <alignment vertical="center" wrapText="1"/>
    </xf>
    <xf numFmtId="0" fontId="36" fillId="0" borderId="1" xfId="36" applyFont="1" applyFill="1" applyBorder="1" applyAlignment="1">
      <alignment vertical="center" wrapText="1"/>
    </xf>
    <xf numFmtId="0" fontId="19" fillId="0" borderId="1" xfId="0" applyFont="1" applyFill="1" applyBorder="1" applyAlignment="1">
      <alignment horizontal="center" vertical="center" wrapText="1"/>
    </xf>
    <xf numFmtId="164" fontId="20" fillId="0" borderId="1" xfId="0" applyNumberFormat="1" applyFont="1" applyFill="1" applyBorder="1" applyAlignment="1">
      <alignment horizontal="center" vertical="center" wrapText="1"/>
    </xf>
    <xf numFmtId="164" fontId="19" fillId="0" borderId="1" xfId="0" applyNumberFormat="1" applyFont="1" applyFill="1" applyBorder="1" applyAlignment="1">
      <alignment horizontal="center" vertical="center" wrapText="1"/>
    </xf>
    <xf numFmtId="0" fontId="17" fillId="0" borderId="0" xfId="0" applyFont="1" applyAlignment="1">
      <alignment vertical="center" wrapText="1"/>
    </xf>
    <xf numFmtId="0" fontId="15" fillId="0" borderId="1" xfId="0" applyFont="1" applyFill="1" applyBorder="1" applyAlignment="1">
      <alignment horizontal="center" vertical="center" wrapText="1"/>
    </xf>
    <xf numFmtId="164" fontId="21" fillId="0" borderId="1" xfId="0" applyNumberFormat="1" applyFont="1" applyFill="1" applyBorder="1" applyAlignment="1">
      <alignment horizontal="center" vertical="center" wrapText="1"/>
    </xf>
    <xf numFmtId="166" fontId="21" fillId="0" borderId="1" xfId="0" applyNumberFormat="1" applyFont="1" applyFill="1" applyBorder="1" applyAlignment="1">
      <alignment horizontal="center" vertical="center" wrapText="1"/>
    </xf>
    <xf numFmtId="164" fontId="15"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vertical="center" wrapText="1"/>
    </xf>
    <xf numFmtId="166" fontId="21" fillId="0" borderId="1" xfId="0" applyNumberFormat="1" applyFont="1" applyFill="1" applyBorder="1" applyAlignment="1">
      <alignment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center"/>
    </xf>
    <xf numFmtId="0" fontId="21" fillId="0" borderId="1"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3" borderId="1" xfId="0" applyFont="1" applyFill="1" applyBorder="1" applyAlignment="1">
      <alignment horizontal="center" vertical="center"/>
    </xf>
    <xf numFmtId="14" fontId="21" fillId="0" borderId="0" xfId="0" applyNumberFormat="1" applyFont="1" applyFill="1" applyBorder="1" applyAlignment="1">
      <alignment horizontal="center" vertical="center" wrapText="1"/>
    </xf>
    <xf numFmtId="3" fontId="17" fillId="0" borderId="3" xfId="10" applyNumberFormat="1" applyFont="1" applyFill="1" applyBorder="1" applyAlignment="1">
      <alignment horizontal="center" vertical="center"/>
    </xf>
    <xf numFmtId="3" fontId="21" fillId="0" borderId="8" xfId="0" applyNumberFormat="1" applyFont="1" applyFill="1" applyBorder="1" applyAlignment="1">
      <alignment horizontal="center" vertical="center" wrapText="1"/>
    </xf>
    <xf numFmtId="0" fontId="15" fillId="0" borderId="7"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37" fillId="0" borderId="1" xfId="0" applyFont="1" applyBorder="1" applyAlignment="1">
      <alignment horizontal="center" vertical="center" wrapText="1"/>
    </xf>
    <xf numFmtId="164" fontId="39" fillId="0" borderId="1" xfId="0" applyNumberFormat="1" applyFont="1" applyBorder="1" applyAlignment="1">
      <alignment horizontal="center" vertical="center" wrapText="1"/>
    </xf>
    <xf numFmtId="164" fontId="37" fillId="0" borderId="1" xfId="0" applyNumberFormat="1" applyFont="1" applyBorder="1" applyAlignment="1">
      <alignment horizontal="center" vertical="center" wrapText="1"/>
    </xf>
    <xf numFmtId="0" fontId="40" fillId="0" borderId="0" xfId="0" applyFont="1" applyAlignment="1">
      <alignment horizontal="center" vertical="center"/>
    </xf>
    <xf numFmtId="0" fontId="40" fillId="0" borderId="0" xfId="0" applyFont="1" applyAlignment="1">
      <alignment wrapText="1"/>
    </xf>
    <xf numFmtId="0" fontId="40" fillId="0" borderId="0" xfId="0" applyFont="1" applyAlignment="1">
      <alignment horizontal="center" vertical="center" wrapText="1"/>
    </xf>
    <xf numFmtId="0" fontId="42" fillId="0" borderId="0" xfId="0" applyFont="1"/>
    <xf numFmtId="0" fontId="40" fillId="0" borderId="0" xfId="0" applyFont="1"/>
    <xf numFmtId="0" fontId="44" fillId="4" borderId="0" xfId="0" applyFont="1" applyFill="1" applyAlignment="1">
      <alignment horizontal="center" vertical="center"/>
    </xf>
    <xf numFmtId="0" fontId="44" fillId="0" borderId="0" xfId="0" applyFont="1" applyAlignment="1">
      <alignment horizontal="center" vertical="center" wrapText="1"/>
    </xf>
    <xf numFmtId="0" fontId="43" fillId="0" borderId="0" xfId="0" applyFont="1" applyAlignment="1">
      <alignment horizontal="center" vertical="center" wrapText="1"/>
    </xf>
    <xf numFmtId="164" fontId="43" fillId="0" borderId="0" xfId="0" applyNumberFormat="1" applyFont="1" applyAlignment="1">
      <alignment horizontal="center" vertical="center" wrapText="1"/>
    </xf>
    <xf numFmtId="49" fontId="40" fillId="0" borderId="0" xfId="0" applyNumberFormat="1" applyFont="1" applyAlignment="1">
      <alignment horizontal="center" vertical="center" wrapText="1"/>
    </xf>
    <xf numFmtId="164" fontId="41" fillId="2" borderId="0" xfId="0" applyNumberFormat="1" applyFont="1" applyFill="1" applyAlignment="1">
      <alignment horizontal="center" vertical="center" wrapText="1"/>
    </xf>
    <xf numFmtId="164" fontId="41" fillId="0" borderId="0" xfId="0" applyNumberFormat="1" applyFont="1" applyAlignment="1">
      <alignment horizontal="center" vertical="center" wrapText="1"/>
    </xf>
    <xf numFmtId="0" fontId="42" fillId="0" borderId="0" xfId="0" applyFont="1" applyAlignment="1">
      <alignment wrapText="1"/>
    </xf>
    <xf numFmtId="0" fontId="42" fillId="0" borderId="0" xfId="0" applyFont="1" applyAlignment="1">
      <alignment horizontal="center" vertical="center" wrapText="1"/>
    </xf>
    <xf numFmtId="0" fontId="21" fillId="4" borderId="1" xfId="0" applyFont="1" applyFill="1" applyBorder="1" applyAlignment="1">
      <alignment horizontal="center" vertical="center"/>
    </xf>
    <xf numFmtId="49" fontId="21" fillId="0" borderId="1" xfId="0" applyNumberFormat="1" applyFont="1" applyBorder="1" applyAlignment="1">
      <alignment horizontal="center" vertical="center" wrapText="1"/>
    </xf>
    <xf numFmtId="0" fontId="17" fillId="0" borderId="0" xfId="0" applyFont="1" applyAlignment="1">
      <alignment horizontal="center" vertical="center" wrapText="1"/>
    </xf>
    <xf numFmtId="0" fontId="21" fillId="0" borderId="1" xfId="0" applyFont="1" applyFill="1" applyBorder="1" applyAlignment="1">
      <alignment horizontal="center" vertical="center" wrapText="1"/>
    </xf>
    <xf numFmtId="0" fontId="20" fillId="0" borderId="1" xfId="0" applyFont="1" applyBorder="1" applyAlignment="1">
      <alignment horizontal="center" vertical="center" wrapText="1"/>
    </xf>
    <xf numFmtId="49" fontId="21" fillId="3"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3" fontId="21" fillId="0" borderId="17" xfId="0" applyNumberFormat="1" applyFont="1" applyFill="1" applyBorder="1" applyAlignment="1">
      <alignment horizontal="center" vertical="center" wrapText="1"/>
    </xf>
    <xf numFmtId="0" fontId="17" fillId="0" borderId="8" xfId="0" applyFont="1" applyFill="1" applyBorder="1" applyAlignment="1">
      <alignment horizontal="center" vertical="center" wrapText="1"/>
    </xf>
    <xf numFmtId="3" fontId="21" fillId="0" borderId="18" xfId="0" applyNumberFormat="1" applyFont="1" applyFill="1" applyBorder="1" applyAlignment="1">
      <alignment horizontal="center" vertical="center" wrapText="1"/>
    </xf>
    <xf numFmtId="3" fontId="17" fillId="0" borderId="13" xfId="10" applyNumberFormat="1" applyFont="1" applyFill="1" applyBorder="1" applyAlignment="1">
      <alignment horizontal="center" vertical="center"/>
    </xf>
    <xf numFmtId="3" fontId="21" fillId="0" borderId="1" xfId="18" applyNumberFormat="1" applyFont="1" applyBorder="1" applyAlignment="1">
      <alignment horizontal="center" vertical="center"/>
    </xf>
    <xf numFmtId="0" fontId="21" fillId="4" borderId="1" xfId="0" applyFont="1" applyFill="1" applyBorder="1" applyAlignment="1">
      <alignment horizontal="center" vertical="center" wrapText="1"/>
    </xf>
    <xf numFmtId="0" fontId="47" fillId="0" borderId="0" xfId="0" applyFont="1"/>
    <xf numFmtId="0" fontId="21" fillId="0" borderId="1" xfId="0" applyFont="1" applyFill="1" applyBorder="1" applyAlignment="1" applyProtection="1">
      <alignment horizontal="center" vertical="center" wrapText="1"/>
      <protection locked="0"/>
    </xf>
    <xf numFmtId="0" fontId="45" fillId="0" borderId="1" xfId="0" applyFont="1" applyFill="1" applyBorder="1" applyAlignment="1">
      <alignment horizontal="center" vertical="center" wrapText="1"/>
    </xf>
    <xf numFmtId="0" fontId="45" fillId="0" borderId="1" xfId="0" applyFont="1" applyFill="1" applyBorder="1" applyAlignment="1">
      <alignment horizontal="center" vertical="center"/>
    </xf>
    <xf numFmtId="0" fontId="45" fillId="0" borderId="1" xfId="0" applyFont="1" applyFill="1" applyBorder="1" applyAlignment="1" applyProtection="1">
      <alignment horizontal="center" vertical="center" wrapText="1"/>
      <protection locked="0"/>
    </xf>
    <xf numFmtId="164" fontId="46" fillId="0" borderId="1" xfId="0" applyNumberFormat="1" applyFont="1" applyFill="1" applyBorder="1" applyAlignment="1" applyProtection="1">
      <alignment horizontal="center" vertical="center" wrapText="1"/>
      <protection locked="0"/>
    </xf>
    <xf numFmtId="49" fontId="45" fillId="0" borderId="1" xfId="0" applyNumberFormat="1" applyFont="1" applyFill="1" applyBorder="1" applyAlignment="1">
      <alignment horizontal="center" vertical="center" wrapText="1"/>
    </xf>
    <xf numFmtId="0" fontId="20" fillId="0" borderId="0" xfId="0" applyFont="1" applyFill="1" applyBorder="1"/>
    <xf numFmtId="164" fontId="16" fillId="2" borderId="0" xfId="0" applyNumberFormat="1" applyFont="1" applyFill="1" applyAlignment="1">
      <alignment horizontal="center" vertical="center"/>
    </xf>
    <xf numFmtId="164" fontId="19" fillId="4" borderId="1" xfId="0" applyNumberFormat="1" applyFont="1" applyFill="1" applyBorder="1" applyAlignment="1" applyProtection="1">
      <alignment horizontal="center" vertical="center" wrapText="1"/>
      <protection locked="0"/>
    </xf>
    <xf numFmtId="0" fontId="17" fillId="4" borderId="1" xfId="0" applyFont="1" applyFill="1" applyBorder="1" applyAlignment="1" applyProtection="1">
      <alignment horizontal="center" vertical="center" wrapText="1"/>
      <protection locked="0"/>
    </xf>
    <xf numFmtId="164" fontId="16" fillId="4" borderId="1" xfId="0" applyNumberFormat="1" applyFont="1" applyFill="1" applyBorder="1" applyAlignment="1" applyProtection="1">
      <alignment horizontal="center" vertical="center" wrapText="1"/>
      <protection locked="0"/>
    </xf>
    <xf numFmtId="49" fontId="17" fillId="4"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1" xfId="0" applyFont="1" applyFill="1" applyBorder="1" applyAlignment="1">
      <alignment horizontal="center" vertical="center"/>
    </xf>
    <xf numFmtId="3" fontId="20"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xf>
    <xf numFmtId="164" fontId="20" fillId="6" borderId="1" xfId="0" applyNumberFormat="1" applyFont="1" applyFill="1" applyBorder="1" applyAlignment="1">
      <alignment horizontal="center" vertical="center" wrapText="1"/>
    </xf>
    <xf numFmtId="3" fontId="20" fillId="0" borderId="1" xfId="18" applyNumberFormat="1" applyFont="1" applyBorder="1" applyAlignment="1">
      <alignment horizontal="center" vertical="center"/>
    </xf>
    <xf numFmtId="0" fontId="19" fillId="4" borderId="1" xfId="0" applyFont="1" applyFill="1" applyBorder="1" applyAlignment="1">
      <alignment horizontal="center" vertical="center" wrapText="1"/>
    </xf>
    <xf numFmtId="0" fontId="20" fillId="4" borderId="1" xfId="0" applyFont="1" applyFill="1" applyBorder="1" applyAlignment="1" applyProtection="1">
      <alignment horizontal="center" vertical="center" wrapText="1"/>
      <protection locked="0"/>
    </xf>
    <xf numFmtId="49" fontId="20" fillId="4" borderId="1" xfId="0" applyNumberFormat="1" applyFont="1" applyFill="1" applyBorder="1" applyAlignment="1">
      <alignment vertical="center" wrapText="1"/>
    </xf>
    <xf numFmtId="164" fontId="16" fillId="0" borderId="1" xfId="0" applyNumberFormat="1" applyFont="1" applyFill="1" applyBorder="1" applyAlignment="1" applyProtection="1">
      <alignment horizontal="center" vertical="center" wrapText="1"/>
      <protection locked="0"/>
    </xf>
    <xf numFmtId="0" fontId="17" fillId="0" borderId="0" xfId="0" applyFont="1" applyAlignment="1">
      <alignment horizontal="center" vertical="center" wrapText="1"/>
    </xf>
    <xf numFmtId="0" fontId="17" fillId="0" borderId="0" xfId="0" applyFont="1" applyAlignment="1">
      <alignment horizontal="center" vertical="center"/>
    </xf>
    <xf numFmtId="0" fontId="21" fillId="0" borderId="1" xfId="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49" fontId="21" fillId="4" borderId="1" xfId="0" applyNumberFormat="1" applyFont="1" applyFill="1" applyBorder="1" applyAlignment="1">
      <alignment horizontal="center" vertical="center" wrapText="1"/>
    </xf>
    <xf numFmtId="0" fontId="21" fillId="0" borderId="1" xfId="0" applyFont="1" applyFill="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wrapText="1"/>
    </xf>
    <xf numFmtId="0" fontId="16" fillId="3" borderId="0" xfId="0" applyFont="1" applyFill="1" applyAlignment="1">
      <alignment horizontal="center" vertical="center"/>
    </xf>
    <xf numFmtId="0" fontId="17" fillId="0" borderId="0" xfId="0" applyFont="1" applyAlignment="1">
      <alignment horizontal="center" vertical="center"/>
    </xf>
    <xf numFmtId="0" fontId="16" fillId="0" borderId="0" xfId="0" applyFont="1" applyAlignment="1">
      <alignment horizontal="center"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2" borderId="0" xfId="0" applyFont="1" applyFill="1" applyAlignment="1">
      <alignment horizontal="center"/>
    </xf>
    <xf numFmtId="0" fontId="21" fillId="0" borderId="0" xfId="0" applyFont="1" applyAlignment="1">
      <alignment horizontal="center" vertical="center"/>
    </xf>
    <xf numFmtId="0" fontId="2" fillId="0" borderId="0" xfId="0" applyFont="1" applyAlignment="1">
      <alignment horizontal="center" wrapText="1"/>
    </xf>
    <xf numFmtId="0" fontId="24" fillId="0" borderId="0" xfId="0" applyFont="1" applyAlignment="1">
      <alignment horizontal="center"/>
    </xf>
    <xf numFmtId="0" fontId="2" fillId="0" borderId="0" xfId="0" applyFont="1"/>
    <xf numFmtId="0" fontId="2" fillId="0" borderId="0" xfId="0" applyFont="1" applyAlignment="1">
      <alignment horizontal="center" vertical="center" wrapText="1"/>
    </xf>
    <xf numFmtId="0" fontId="29" fillId="0" borderId="1" xfId="0" applyFont="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vertical="center"/>
    </xf>
    <xf numFmtId="0" fontId="15" fillId="2" borderId="0" xfId="0" applyFont="1" applyFill="1" applyAlignment="1">
      <alignment horizontal="center"/>
    </xf>
    <xf numFmtId="0" fontId="3" fillId="0" borderId="0" xfId="0" applyFont="1" applyAlignment="1">
      <alignment horizontal="center"/>
    </xf>
    <xf numFmtId="0" fontId="40" fillId="0" borderId="0" xfId="0" applyFont="1" applyAlignment="1">
      <alignment horizontal="center" vertical="center" wrapText="1"/>
    </xf>
    <xf numFmtId="0" fontId="40" fillId="0" borderId="0" xfId="0" applyFont="1" applyAlignment="1">
      <alignment horizontal="center" wrapText="1"/>
    </xf>
    <xf numFmtId="0" fontId="42" fillId="0" borderId="0" xfId="0" applyFont="1" applyAlignment="1">
      <alignment horizontal="center" vertical="center"/>
    </xf>
    <xf numFmtId="0" fontId="41" fillId="0" borderId="0" xfId="0" applyFont="1" applyAlignment="1">
      <alignment horizontal="center" vertical="center" wrapText="1"/>
    </xf>
    <xf numFmtId="49" fontId="20" fillId="4" borderId="1" xfId="0" applyNumberFormat="1" applyFont="1" applyFill="1" applyBorder="1" applyAlignment="1">
      <alignment horizontal="center" vertical="center" wrapText="1"/>
    </xf>
    <xf numFmtId="0" fontId="5" fillId="0" borderId="0" xfId="0" applyFont="1" applyAlignment="1">
      <alignment horizontal="center" vertical="center"/>
    </xf>
    <xf numFmtId="0" fontId="27" fillId="2" borderId="0" xfId="0" applyFont="1" applyFill="1" applyAlignment="1">
      <alignment horizontal="center"/>
    </xf>
    <xf numFmtId="0" fontId="0" fillId="0" borderId="0" xfId="0" applyAlignment="1">
      <alignment horizontal="center"/>
    </xf>
    <xf numFmtId="0" fontId="28" fillId="0" borderId="0" xfId="0" applyFont="1" applyAlignment="1">
      <alignment horizontal="center"/>
    </xf>
    <xf numFmtId="0" fontId="5" fillId="0" borderId="0" xfId="0" applyFont="1" applyAlignment="1">
      <alignment horizontal="center"/>
    </xf>
    <xf numFmtId="14" fontId="29"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14" fontId="29" fillId="6" borderId="1" xfId="0" applyNumberFormat="1" applyFont="1" applyFill="1" applyBorder="1" applyAlignment="1">
      <alignment horizontal="center" vertical="center" wrapText="1"/>
    </xf>
    <xf numFmtId="49" fontId="29" fillId="0" borderId="1" xfId="0" applyNumberFormat="1" applyFont="1" applyBorder="1" applyAlignment="1">
      <alignment horizontal="center" vertical="center" wrapText="1"/>
    </xf>
    <xf numFmtId="0" fontId="16" fillId="3" borderId="1" xfId="0" applyFont="1" applyFill="1" applyBorder="1" applyAlignment="1">
      <alignment horizontal="center" vertical="center"/>
    </xf>
    <xf numFmtId="0" fontId="21" fillId="3" borderId="1" xfId="0" applyFont="1" applyFill="1" applyBorder="1"/>
    <xf numFmtId="0" fontId="16" fillId="3" borderId="14"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13" xfId="0" applyFont="1" applyFill="1" applyBorder="1" applyAlignment="1">
      <alignment horizontal="center" vertical="center"/>
    </xf>
    <xf numFmtId="0" fontId="21" fillId="3" borderId="1" xfId="0" applyFont="1" applyFill="1" applyBorder="1" applyAlignment="1">
      <alignment horizontal="center" vertical="center"/>
    </xf>
    <xf numFmtId="0" fontId="16" fillId="3" borderId="1" xfId="41" applyFont="1" applyFill="1" applyBorder="1" applyAlignment="1">
      <alignment horizontal="center" vertical="center"/>
    </xf>
    <xf numFmtId="0" fontId="17" fillId="0" borderId="16" xfId="0" applyFont="1" applyBorder="1" applyAlignment="1">
      <alignment vertical="center"/>
    </xf>
    <xf numFmtId="0" fontId="17" fillId="0" borderId="0" xfId="0" applyFont="1" applyAlignment="1">
      <alignment vertical="center"/>
    </xf>
    <xf numFmtId="0" fontId="16" fillId="0" borderId="0" xfId="0" applyFont="1" applyAlignment="1">
      <alignment horizontal="center" vertical="center"/>
    </xf>
  </cellXfs>
  <cellStyles count="44">
    <cellStyle name="Hipervínculo" xfId="36" builtinId="8"/>
    <cellStyle name="Normal" xfId="0" builtinId="0"/>
    <cellStyle name="Normal 10" xfId="18" xr:uid="{EB2927AC-3EFD-4A9D-AA16-C5860BBFC07A}"/>
    <cellStyle name="Normal 10 2" xfId="7" xr:uid="{6F6D9475-DB34-4825-832B-EC8B27A6901E}"/>
    <cellStyle name="Normal 11" xfId="19" xr:uid="{70529AAA-DA9F-4049-9687-8C8E6699FA59}"/>
    <cellStyle name="Normal 11 2" xfId="26" xr:uid="{0D01B5D9-4715-40EA-8670-30DC7FB57288}"/>
    <cellStyle name="Normal 12" xfId="20" xr:uid="{9C7C6E2A-8F28-4FBD-A993-61175C8D0B2D}"/>
    <cellStyle name="Normal 12 2" xfId="27" xr:uid="{05586120-EAFF-4811-A261-C699AB8D9BCE}"/>
    <cellStyle name="Normal 13" xfId="8" xr:uid="{84C3876F-C46F-4201-8212-244873C0BD59}"/>
    <cellStyle name="Normal 13 2" xfId="31" xr:uid="{CD2C8B10-5607-421E-92EA-C891A1D7D85D}"/>
    <cellStyle name="Normal 14" xfId="28" xr:uid="{8B2E0452-4736-458C-B767-3898A7EC1BA7}"/>
    <cellStyle name="Normal 15" xfId="29" xr:uid="{63FCA2B4-EECE-4ACF-A748-535F92A7ABEC}"/>
    <cellStyle name="Normal 16" xfId="32" xr:uid="{E1E96C49-A2D0-4C40-A092-D4812D6E9576}"/>
    <cellStyle name="Normal 17" xfId="33" xr:uid="{5DF0D780-45DD-48CE-83BB-6629946A6815}"/>
    <cellStyle name="Normal 18" xfId="34" xr:uid="{615C61EB-5A15-4EF5-AA70-00C023627332}"/>
    <cellStyle name="Normal 19" xfId="35" xr:uid="{5D14D9C1-FAEA-4473-835D-A2331D4DE6C8}"/>
    <cellStyle name="Normal 19 2" xfId="38" xr:uid="{522F3930-76E0-4692-9296-8F32CBACBE53}"/>
    <cellStyle name="Normal 2" xfId="1" xr:uid="{00000000-0005-0000-0000-000002000000}"/>
    <cellStyle name="Normal 2 2" xfId="30" xr:uid="{DE9869CB-97D1-48DB-BB9B-A79D2CD59D44}"/>
    <cellStyle name="Normal 2 2 2" xfId="41" xr:uid="{27438312-9943-4F58-8F56-9A18132FAF88}"/>
    <cellStyle name="Normal 2 3" xfId="14" xr:uid="{2A33B45C-2953-4680-BA59-9A106B62871C}"/>
    <cellStyle name="Normal 2 4" xfId="40" xr:uid="{AB83CF8B-1A69-410A-9F2C-A93298AE03A2}"/>
    <cellStyle name="Normal 20" xfId="39" xr:uid="{641134EF-4C80-4ABD-A6C3-D4C33E3A5F3B}"/>
    <cellStyle name="Normal 21" xfId="43" xr:uid="{B0D31E58-D682-4ECF-9F3F-2E194CD377EC}"/>
    <cellStyle name="Normal 3" xfId="3" xr:uid="{2E620CFE-BB2C-4A35-9662-D66829C5FBC9}"/>
    <cellStyle name="Normal 3 2" xfId="5" xr:uid="{32FE86D6-BC2A-4F82-9785-ADF636037268}"/>
    <cellStyle name="Normal 3 2 2" xfId="11" xr:uid="{E26A05F4-7314-4B9D-93A2-B434B27F29C0}"/>
    <cellStyle name="Normal 3 3" xfId="4" xr:uid="{B524CB6A-FBA7-49D5-B4FB-9E3CE14B7095}"/>
    <cellStyle name="Normal 4" xfId="2" xr:uid="{235C9D73-6230-48DE-81DB-FF59C0882E1D}"/>
    <cellStyle name="Normal 4 2" xfId="21" xr:uid="{92AA2DED-3F80-4B0F-8099-EADCFBFA00A7}"/>
    <cellStyle name="Normal 4 3" xfId="42" xr:uid="{8FB85DC7-7BFA-4CF5-B47A-781FB8C8B891}"/>
    <cellStyle name="Normal 5" xfId="9" xr:uid="{D191A218-5A26-4282-B10E-0E269B920E7F}"/>
    <cellStyle name="Normal 5 2" xfId="10" xr:uid="{3AB825E3-117E-4743-A0A2-491E5E620C38}"/>
    <cellStyle name="Normal 5 3" xfId="13" xr:uid="{69CB4F01-9D65-4057-9845-B486AA8B98DF}"/>
    <cellStyle name="Normal 5 3 2" xfId="37" xr:uid="{BDA70EB2-45D0-44D0-AB0C-1D3A22055049}"/>
    <cellStyle name="Normal 6" xfId="12" xr:uid="{59C7A0C9-EC34-4A1D-AC4C-BA88EA5A5E4C}"/>
    <cellStyle name="Normal 6 2" xfId="22" xr:uid="{6CAAF6C8-4F3D-40EF-AFE9-7E210A2C96CB}"/>
    <cellStyle name="Normal 6 3" xfId="15" xr:uid="{0F77FBCB-CE18-44EE-91F8-84FE5CE43CE2}"/>
    <cellStyle name="Normal 7" xfId="16" xr:uid="{329ED271-7B14-469E-8F3A-D181249CD7C5}"/>
    <cellStyle name="Normal 7 2" xfId="23" xr:uid="{592303BB-3074-4399-8831-195DE61502E0}"/>
    <cellStyle name="Normal 8" xfId="6" xr:uid="{A8A7E1B6-23F0-42C5-869E-593362F51E28}"/>
    <cellStyle name="Normal 8 2" xfId="24" xr:uid="{48C07807-F4E9-42B6-A41B-3336C06EFBB4}"/>
    <cellStyle name="Normal 9" xfId="17" xr:uid="{DDB0DCA0-2966-40FC-934D-4BBE166048ED}"/>
    <cellStyle name="Normal 9 2" xfId="25" xr:uid="{D6CC75C6-FD3E-4E25-BD78-C9BCF757B709}"/>
  </cellStyles>
  <dxfs count="0"/>
  <tableStyles count="0" defaultTableStyle="TableStyleMedium9" defaultPivotStyle="PivotStyleLight16"/>
  <colors>
    <mruColors>
      <color rgb="FFFFFFCC"/>
      <color rgb="FFFFFF99"/>
      <color rgb="FF008000"/>
      <color rgb="FF006600"/>
      <color rgb="FF009900"/>
      <color rgb="FF4B5238"/>
      <color rgb="FFCCFF66"/>
      <color rgb="FF66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10.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9</xdr:col>
      <xdr:colOff>581025</xdr:colOff>
      <xdr:row>2</xdr:row>
      <xdr:rowOff>0</xdr:rowOff>
    </xdr:from>
    <xdr:ext cx="184731" cy="264560"/>
    <xdr:sp macro="" textlink="">
      <xdr:nvSpPr>
        <xdr:cNvPr id="20" name="CuadroTexto 19">
          <a:extLst>
            <a:ext uri="{FF2B5EF4-FFF2-40B4-BE49-F238E27FC236}">
              <a16:creationId xmlns:a16="http://schemas.microsoft.com/office/drawing/2014/main" id="{7278819F-5108-417D-A6E2-4A8DE2098EA7}"/>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21" name="CuadroTexto 20">
          <a:extLst>
            <a:ext uri="{FF2B5EF4-FFF2-40B4-BE49-F238E27FC236}">
              <a16:creationId xmlns:a16="http://schemas.microsoft.com/office/drawing/2014/main" id="{4B5CB30F-DE0A-422C-8A22-C6849F3EE32F}"/>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22" name="CuadroTexto 21">
          <a:extLst>
            <a:ext uri="{FF2B5EF4-FFF2-40B4-BE49-F238E27FC236}">
              <a16:creationId xmlns:a16="http://schemas.microsoft.com/office/drawing/2014/main" id="{B6E45F26-B9FC-47EB-AEF2-99FBBA85B4FC}"/>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23" name="CuadroTexto 22">
          <a:extLst>
            <a:ext uri="{FF2B5EF4-FFF2-40B4-BE49-F238E27FC236}">
              <a16:creationId xmlns:a16="http://schemas.microsoft.com/office/drawing/2014/main" id="{E4913B52-C701-40F5-BEA8-1B6A750A8697}"/>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24" name="CuadroTexto 23">
          <a:extLst>
            <a:ext uri="{FF2B5EF4-FFF2-40B4-BE49-F238E27FC236}">
              <a16:creationId xmlns:a16="http://schemas.microsoft.com/office/drawing/2014/main" id="{EF89DC0B-77E1-4277-A19B-0F15CC29FE5B}"/>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25" name="CuadroTexto 24">
          <a:extLst>
            <a:ext uri="{FF2B5EF4-FFF2-40B4-BE49-F238E27FC236}">
              <a16:creationId xmlns:a16="http://schemas.microsoft.com/office/drawing/2014/main" id="{B3B2D8F4-D1EB-42B3-922D-E73BB02682EF}"/>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26" name="CuadroTexto 25">
          <a:extLst>
            <a:ext uri="{FF2B5EF4-FFF2-40B4-BE49-F238E27FC236}">
              <a16:creationId xmlns:a16="http://schemas.microsoft.com/office/drawing/2014/main" id="{7C15BCA0-F74F-46D9-AE23-A0BD7852D51F}"/>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27" name="CuadroTexto 26">
          <a:extLst>
            <a:ext uri="{FF2B5EF4-FFF2-40B4-BE49-F238E27FC236}">
              <a16:creationId xmlns:a16="http://schemas.microsoft.com/office/drawing/2014/main" id="{FB9D390B-73D4-40FA-BB92-59CBDCBA7367}"/>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28" name="CuadroTexto 27">
          <a:extLst>
            <a:ext uri="{FF2B5EF4-FFF2-40B4-BE49-F238E27FC236}">
              <a16:creationId xmlns:a16="http://schemas.microsoft.com/office/drawing/2014/main" id="{BC87FD32-C7B9-43B9-8BE8-2A73F767AD4C}"/>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29" name="CuadroTexto 28">
          <a:extLst>
            <a:ext uri="{FF2B5EF4-FFF2-40B4-BE49-F238E27FC236}">
              <a16:creationId xmlns:a16="http://schemas.microsoft.com/office/drawing/2014/main" id="{9A2A82F1-F19F-4DF0-92D4-FE15C1B5C438}"/>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30" name="CuadroTexto 29">
          <a:extLst>
            <a:ext uri="{FF2B5EF4-FFF2-40B4-BE49-F238E27FC236}">
              <a16:creationId xmlns:a16="http://schemas.microsoft.com/office/drawing/2014/main" id="{7C65DF4C-8AAD-4855-A839-52023CDA45AA}"/>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31" name="CuadroTexto 30">
          <a:extLst>
            <a:ext uri="{FF2B5EF4-FFF2-40B4-BE49-F238E27FC236}">
              <a16:creationId xmlns:a16="http://schemas.microsoft.com/office/drawing/2014/main" id="{9C2F0AD2-6877-45C3-8546-0D6FA9DAC671}"/>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32" name="CuadroTexto 31">
          <a:extLst>
            <a:ext uri="{FF2B5EF4-FFF2-40B4-BE49-F238E27FC236}">
              <a16:creationId xmlns:a16="http://schemas.microsoft.com/office/drawing/2014/main" id="{28163A0B-4E87-4EFB-ABC5-679920A46C4D}"/>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33" name="CuadroTexto 32">
          <a:extLst>
            <a:ext uri="{FF2B5EF4-FFF2-40B4-BE49-F238E27FC236}">
              <a16:creationId xmlns:a16="http://schemas.microsoft.com/office/drawing/2014/main" id="{92EA5044-503D-4F7A-8881-B53040290037}"/>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34" name="CuadroTexto 33">
          <a:extLst>
            <a:ext uri="{FF2B5EF4-FFF2-40B4-BE49-F238E27FC236}">
              <a16:creationId xmlns:a16="http://schemas.microsoft.com/office/drawing/2014/main" id="{57F0414A-4E14-42EB-8920-8041CE022C2F}"/>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35" name="CuadroTexto 34">
          <a:extLst>
            <a:ext uri="{FF2B5EF4-FFF2-40B4-BE49-F238E27FC236}">
              <a16:creationId xmlns:a16="http://schemas.microsoft.com/office/drawing/2014/main" id="{F856DB65-1928-4460-868A-CDC1925AD043}"/>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36" name="CuadroTexto 35">
          <a:extLst>
            <a:ext uri="{FF2B5EF4-FFF2-40B4-BE49-F238E27FC236}">
              <a16:creationId xmlns:a16="http://schemas.microsoft.com/office/drawing/2014/main" id="{3D8C52E7-A18C-4F9F-91C1-8D8CC3E96CC7}"/>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37" name="CuadroTexto 36">
          <a:extLst>
            <a:ext uri="{FF2B5EF4-FFF2-40B4-BE49-F238E27FC236}">
              <a16:creationId xmlns:a16="http://schemas.microsoft.com/office/drawing/2014/main" id="{DA3EBCE2-283F-4531-9275-B5195D1B4FB8}"/>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38" name="CuadroTexto 37">
          <a:extLst>
            <a:ext uri="{FF2B5EF4-FFF2-40B4-BE49-F238E27FC236}">
              <a16:creationId xmlns:a16="http://schemas.microsoft.com/office/drawing/2014/main" id="{E7EEE468-3CAA-4EDE-B76B-1D9784426492}"/>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39" name="CuadroTexto 38">
          <a:extLst>
            <a:ext uri="{FF2B5EF4-FFF2-40B4-BE49-F238E27FC236}">
              <a16:creationId xmlns:a16="http://schemas.microsoft.com/office/drawing/2014/main" id="{0CB9EA00-A9E6-43C9-B0C8-5F57A3091ECE}"/>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40" name="CuadroTexto 39">
          <a:extLst>
            <a:ext uri="{FF2B5EF4-FFF2-40B4-BE49-F238E27FC236}">
              <a16:creationId xmlns:a16="http://schemas.microsoft.com/office/drawing/2014/main" id="{58692B27-BF51-4729-8DFA-81391BE71167}"/>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41" name="CuadroTexto 40">
          <a:extLst>
            <a:ext uri="{FF2B5EF4-FFF2-40B4-BE49-F238E27FC236}">
              <a16:creationId xmlns:a16="http://schemas.microsoft.com/office/drawing/2014/main" id="{3536B1FF-65F4-43D2-8D27-03666C8A6332}"/>
            </a:ext>
          </a:extLst>
        </xdr:cNvPr>
        <xdr:cNvSpPr txBox="1"/>
      </xdr:nvSpPr>
      <xdr:spPr>
        <a:xfrm>
          <a:off x="5133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42" name="CuadroTexto 41">
          <a:extLst>
            <a:ext uri="{FF2B5EF4-FFF2-40B4-BE49-F238E27FC236}">
              <a16:creationId xmlns:a16="http://schemas.microsoft.com/office/drawing/2014/main" id="{E2FD6131-6EAE-4644-8406-B2F8D8CF40FA}"/>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43" name="CuadroTexto 42">
          <a:extLst>
            <a:ext uri="{FF2B5EF4-FFF2-40B4-BE49-F238E27FC236}">
              <a16:creationId xmlns:a16="http://schemas.microsoft.com/office/drawing/2014/main" id="{03D2AA68-C9BD-48BF-9230-FFC2EBBD1EEC}"/>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44" name="CuadroTexto 43">
          <a:extLst>
            <a:ext uri="{FF2B5EF4-FFF2-40B4-BE49-F238E27FC236}">
              <a16:creationId xmlns:a16="http://schemas.microsoft.com/office/drawing/2014/main" id="{85062752-D716-460F-AAE6-FAE58591D9BF}"/>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45" name="CuadroTexto 44">
          <a:extLst>
            <a:ext uri="{FF2B5EF4-FFF2-40B4-BE49-F238E27FC236}">
              <a16:creationId xmlns:a16="http://schemas.microsoft.com/office/drawing/2014/main" id="{C47778DF-99C2-4CD8-AE81-4AAE7531CDBE}"/>
            </a:ext>
          </a:extLst>
        </xdr:cNvPr>
        <xdr:cNvSpPr txBox="1"/>
      </xdr:nvSpPr>
      <xdr:spPr>
        <a:xfrm>
          <a:off x="6657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46" name="CuadroTexto 45">
          <a:extLst>
            <a:ext uri="{FF2B5EF4-FFF2-40B4-BE49-F238E27FC236}">
              <a16:creationId xmlns:a16="http://schemas.microsoft.com/office/drawing/2014/main" id="{2D5DF10F-B632-49A6-AE22-51D9DDD64D1E}"/>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47" name="CuadroTexto 46">
          <a:extLst>
            <a:ext uri="{FF2B5EF4-FFF2-40B4-BE49-F238E27FC236}">
              <a16:creationId xmlns:a16="http://schemas.microsoft.com/office/drawing/2014/main" id="{8E4B2753-2FD8-4229-85D3-BCB174ED5DEC}"/>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48" name="CuadroTexto 47">
          <a:extLst>
            <a:ext uri="{FF2B5EF4-FFF2-40B4-BE49-F238E27FC236}">
              <a16:creationId xmlns:a16="http://schemas.microsoft.com/office/drawing/2014/main" id="{3643BF4E-B44B-431E-A761-AD1AE27746D1}"/>
            </a:ext>
          </a:extLst>
        </xdr:cNvPr>
        <xdr:cNvSpPr txBox="1"/>
      </xdr:nvSpPr>
      <xdr:spPr>
        <a:xfrm>
          <a:off x="7419975" y="1552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0" name="CuadroTexto 49">
          <a:extLst>
            <a:ext uri="{FF2B5EF4-FFF2-40B4-BE49-F238E27FC236}">
              <a16:creationId xmlns:a16="http://schemas.microsoft.com/office/drawing/2014/main" id="{D95F09A4-0B2E-44CB-9727-F2CA1BFA1AA5}"/>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1" name="CuadroTexto 50">
          <a:extLst>
            <a:ext uri="{FF2B5EF4-FFF2-40B4-BE49-F238E27FC236}">
              <a16:creationId xmlns:a16="http://schemas.microsoft.com/office/drawing/2014/main" id="{561B15AE-ED0C-4E9E-980D-C9875374E656}"/>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2" name="CuadroTexto 51">
          <a:extLst>
            <a:ext uri="{FF2B5EF4-FFF2-40B4-BE49-F238E27FC236}">
              <a16:creationId xmlns:a16="http://schemas.microsoft.com/office/drawing/2014/main" id="{40640D93-E4A1-47D6-88B9-741D76CB909F}"/>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53" name="CuadroTexto 52">
          <a:extLst>
            <a:ext uri="{FF2B5EF4-FFF2-40B4-BE49-F238E27FC236}">
              <a16:creationId xmlns:a16="http://schemas.microsoft.com/office/drawing/2014/main" id="{147C1FC2-76D6-4E46-84DE-CC7E0F57C7B2}"/>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54" name="CuadroTexto 53">
          <a:extLst>
            <a:ext uri="{FF2B5EF4-FFF2-40B4-BE49-F238E27FC236}">
              <a16:creationId xmlns:a16="http://schemas.microsoft.com/office/drawing/2014/main" id="{4D451CB5-5AE5-466F-A175-115AA11FD5DB}"/>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55" name="CuadroTexto 54">
          <a:extLst>
            <a:ext uri="{FF2B5EF4-FFF2-40B4-BE49-F238E27FC236}">
              <a16:creationId xmlns:a16="http://schemas.microsoft.com/office/drawing/2014/main" id="{31A82022-AD23-4BBF-A24C-2BE5A9C00DD8}"/>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56" name="CuadroTexto 55">
          <a:extLst>
            <a:ext uri="{FF2B5EF4-FFF2-40B4-BE49-F238E27FC236}">
              <a16:creationId xmlns:a16="http://schemas.microsoft.com/office/drawing/2014/main" id="{4969BBEA-EDCD-4917-BB15-9C55F4CC14BC}"/>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7" name="CuadroTexto 56">
          <a:extLst>
            <a:ext uri="{FF2B5EF4-FFF2-40B4-BE49-F238E27FC236}">
              <a16:creationId xmlns:a16="http://schemas.microsoft.com/office/drawing/2014/main" id="{478996D0-865A-49CB-BE6A-36A3E263F1AD}"/>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8" name="CuadroTexto 57">
          <a:extLst>
            <a:ext uri="{FF2B5EF4-FFF2-40B4-BE49-F238E27FC236}">
              <a16:creationId xmlns:a16="http://schemas.microsoft.com/office/drawing/2014/main" id="{D7F84649-E8D3-4CB2-9D93-2EC5DCFCCBC5}"/>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59" name="CuadroTexto 58">
          <a:extLst>
            <a:ext uri="{FF2B5EF4-FFF2-40B4-BE49-F238E27FC236}">
              <a16:creationId xmlns:a16="http://schemas.microsoft.com/office/drawing/2014/main" id="{18316102-B7CC-4AAA-8BF5-F4CEADD7D61A}"/>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60" name="CuadroTexto 59">
          <a:extLst>
            <a:ext uri="{FF2B5EF4-FFF2-40B4-BE49-F238E27FC236}">
              <a16:creationId xmlns:a16="http://schemas.microsoft.com/office/drawing/2014/main" id="{B9318D5C-37A5-4CD0-AC00-E24DEAB5C81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61" name="CuadroTexto 60">
          <a:extLst>
            <a:ext uri="{FF2B5EF4-FFF2-40B4-BE49-F238E27FC236}">
              <a16:creationId xmlns:a16="http://schemas.microsoft.com/office/drawing/2014/main" id="{7FF02D45-1B4D-4E80-BD40-DDAC0DDC1A38}"/>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62" name="CuadroTexto 61">
          <a:extLst>
            <a:ext uri="{FF2B5EF4-FFF2-40B4-BE49-F238E27FC236}">
              <a16:creationId xmlns:a16="http://schemas.microsoft.com/office/drawing/2014/main" id="{A2914D02-008A-45DF-BB75-6636448A7296}"/>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63" name="CuadroTexto 62">
          <a:extLst>
            <a:ext uri="{FF2B5EF4-FFF2-40B4-BE49-F238E27FC236}">
              <a16:creationId xmlns:a16="http://schemas.microsoft.com/office/drawing/2014/main" id="{7C28FC36-96BF-4FCE-B41F-C589ED051347}"/>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65" name="CuadroTexto 64">
          <a:extLst>
            <a:ext uri="{FF2B5EF4-FFF2-40B4-BE49-F238E27FC236}">
              <a16:creationId xmlns:a16="http://schemas.microsoft.com/office/drawing/2014/main" id="{7D2AA629-CD79-466A-B4B2-1CBF39468B20}"/>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66" name="CuadroTexto 65">
          <a:extLst>
            <a:ext uri="{FF2B5EF4-FFF2-40B4-BE49-F238E27FC236}">
              <a16:creationId xmlns:a16="http://schemas.microsoft.com/office/drawing/2014/main" id="{672C85ED-EBD6-4624-AD41-14AC71C4EAB4}"/>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67" name="CuadroTexto 66">
          <a:extLst>
            <a:ext uri="{FF2B5EF4-FFF2-40B4-BE49-F238E27FC236}">
              <a16:creationId xmlns:a16="http://schemas.microsoft.com/office/drawing/2014/main" id="{43C1B7F4-CE54-4304-B7AF-E4938BD37CD3}"/>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68" name="CuadroTexto 67">
          <a:extLst>
            <a:ext uri="{FF2B5EF4-FFF2-40B4-BE49-F238E27FC236}">
              <a16:creationId xmlns:a16="http://schemas.microsoft.com/office/drawing/2014/main" id="{A6EB98F3-0080-4C80-BD01-D8B573FDDF63}"/>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69" name="CuadroTexto 68">
          <a:extLst>
            <a:ext uri="{FF2B5EF4-FFF2-40B4-BE49-F238E27FC236}">
              <a16:creationId xmlns:a16="http://schemas.microsoft.com/office/drawing/2014/main" id="{D5EB5D70-DEF0-44DD-BBDB-22E0B510956D}"/>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70" name="CuadroTexto 69">
          <a:extLst>
            <a:ext uri="{FF2B5EF4-FFF2-40B4-BE49-F238E27FC236}">
              <a16:creationId xmlns:a16="http://schemas.microsoft.com/office/drawing/2014/main" id="{793A1061-E09D-4DF2-9DB3-B132D0D71B0B}"/>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71" name="CuadroTexto 70">
          <a:extLst>
            <a:ext uri="{FF2B5EF4-FFF2-40B4-BE49-F238E27FC236}">
              <a16:creationId xmlns:a16="http://schemas.microsoft.com/office/drawing/2014/main" id="{3CB561DB-DF1F-41EB-A97A-C8FE97848C97}"/>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72" name="CuadroTexto 71">
          <a:extLst>
            <a:ext uri="{FF2B5EF4-FFF2-40B4-BE49-F238E27FC236}">
              <a16:creationId xmlns:a16="http://schemas.microsoft.com/office/drawing/2014/main" id="{53D1BBF6-57C9-4286-B2F3-F5A62F0DCB6A}"/>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73" name="CuadroTexto 72">
          <a:extLst>
            <a:ext uri="{FF2B5EF4-FFF2-40B4-BE49-F238E27FC236}">
              <a16:creationId xmlns:a16="http://schemas.microsoft.com/office/drawing/2014/main" id="{6D605099-2627-43BE-BF4D-DBA6B9B1FF1F}"/>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74" name="CuadroTexto 73">
          <a:extLst>
            <a:ext uri="{FF2B5EF4-FFF2-40B4-BE49-F238E27FC236}">
              <a16:creationId xmlns:a16="http://schemas.microsoft.com/office/drawing/2014/main" id="{AA90E793-0CD6-4FDC-BDFB-74A6C025C2B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75" name="CuadroTexto 74">
          <a:extLst>
            <a:ext uri="{FF2B5EF4-FFF2-40B4-BE49-F238E27FC236}">
              <a16:creationId xmlns:a16="http://schemas.microsoft.com/office/drawing/2014/main" id="{F7088736-F2D2-425E-A98C-4C14FFA0A79E}"/>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0" name="CuadroTexto 79">
          <a:extLst>
            <a:ext uri="{FF2B5EF4-FFF2-40B4-BE49-F238E27FC236}">
              <a16:creationId xmlns:a16="http://schemas.microsoft.com/office/drawing/2014/main" id="{5F6AE85E-CE48-4F6B-B795-E2A78F04EDBE}"/>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1" name="CuadroTexto 80">
          <a:extLst>
            <a:ext uri="{FF2B5EF4-FFF2-40B4-BE49-F238E27FC236}">
              <a16:creationId xmlns:a16="http://schemas.microsoft.com/office/drawing/2014/main" id="{6F59F283-576F-4E19-8DA9-2334A8A16C7F}"/>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2" name="CuadroTexto 81">
          <a:extLst>
            <a:ext uri="{FF2B5EF4-FFF2-40B4-BE49-F238E27FC236}">
              <a16:creationId xmlns:a16="http://schemas.microsoft.com/office/drawing/2014/main" id="{BEFDB5D0-CD0B-495A-8504-2031C91CB007}"/>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83" name="CuadroTexto 82">
          <a:extLst>
            <a:ext uri="{FF2B5EF4-FFF2-40B4-BE49-F238E27FC236}">
              <a16:creationId xmlns:a16="http://schemas.microsoft.com/office/drawing/2014/main" id="{F40C4818-EC08-4191-9260-D5DD57807FCF}"/>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84" name="CuadroTexto 83">
          <a:extLst>
            <a:ext uri="{FF2B5EF4-FFF2-40B4-BE49-F238E27FC236}">
              <a16:creationId xmlns:a16="http://schemas.microsoft.com/office/drawing/2014/main" id="{D0929833-0DA3-499B-8897-2CAD4F6114AB}"/>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85" name="CuadroTexto 84">
          <a:extLst>
            <a:ext uri="{FF2B5EF4-FFF2-40B4-BE49-F238E27FC236}">
              <a16:creationId xmlns:a16="http://schemas.microsoft.com/office/drawing/2014/main" id="{CA8D4510-0ADA-4750-BCCB-1ADAFAF6C9C5}"/>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86" name="CuadroTexto 85">
          <a:extLst>
            <a:ext uri="{FF2B5EF4-FFF2-40B4-BE49-F238E27FC236}">
              <a16:creationId xmlns:a16="http://schemas.microsoft.com/office/drawing/2014/main" id="{66505652-1586-4300-AB29-E66BE0D20991}"/>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7" name="CuadroTexto 86">
          <a:extLst>
            <a:ext uri="{FF2B5EF4-FFF2-40B4-BE49-F238E27FC236}">
              <a16:creationId xmlns:a16="http://schemas.microsoft.com/office/drawing/2014/main" id="{FBA8B8D1-93DB-4ADB-A76A-408FCC3BB4F9}"/>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8" name="CuadroTexto 87">
          <a:extLst>
            <a:ext uri="{FF2B5EF4-FFF2-40B4-BE49-F238E27FC236}">
              <a16:creationId xmlns:a16="http://schemas.microsoft.com/office/drawing/2014/main" id="{E518F7E7-D7D1-4C0F-86C7-343F2BAA610B}"/>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89" name="CuadroTexto 88">
          <a:extLst>
            <a:ext uri="{FF2B5EF4-FFF2-40B4-BE49-F238E27FC236}">
              <a16:creationId xmlns:a16="http://schemas.microsoft.com/office/drawing/2014/main" id="{225A9486-914A-4F6F-84FA-57559CF27F22}"/>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90" name="CuadroTexto 89">
          <a:extLst>
            <a:ext uri="{FF2B5EF4-FFF2-40B4-BE49-F238E27FC236}">
              <a16:creationId xmlns:a16="http://schemas.microsoft.com/office/drawing/2014/main" id="{D45370B8-2A70-4E35-8AC2-F5542ED826A9}"/>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91" name="CuadroTexto 90">
          <a:extLst>
            <a:ext uri="{FF2B5EF4-FFF2-40B4-BE49-F238E27FC236}">
              <a16:creationId xmlns:a16="http://schemas.microsoft.com/office/drawing/2014/main" id="{AF6DF393-2A32-44B0-8FF3-86FEAFE1213E}"/>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92" name="CuadroTexto 91">
          <a:extLst>
            <a:ext uri="{FF2B5EF4-FFF2-40B4-BE49-F238E27FC236}">
              <a16:creationId xmlns:a16="http://schemas.microsoft.com/office/drawing/2014/main" id="{6027FB93-D6DE-447F-923C-8C70396CC40F}"/>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93" name="CuadroTexto 92">
          <a:extLst>
            <a:ext uri="{FF2B5EF4-FFF2-40B4-BE49-F238E27FC236}">
              <a16:creationId xmlns:a16="http://schemas.microsoft.com/office/drawing/2014/main" id="{85C912A4-450A-4D40-9C9D-8836F030204A}"/>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94" name="CuadroTexto 93">
          <a:extLst>
            <a:ext uri="{FF2B5EF4-FFF2-40B4-BE49-F238E27FC236}">
              <a16:creationId xmlns:a16="http://schemas.microsoft.com/office/drawing/2014/main" id="{3A23D672-4A10-4D40-A76D-31863485734A}"/>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95" name="CuadroTexto 94">
          <a:extLst>
            <a:ext uri="{FF2B5EF4-FFF2-40B4-BE49-F238E27FC236}">
              <a16:creationId xmlns:a16="http://schemas.microsoft.com/office/drawing/2014/main" id="{70A4A3CD-274B-4DA6-8645-EB1B70A2E85C}"/>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96" name="CuadroTexto 95">
          <a:extLst>
            <a:ext uri="{FF2B5EF4-FFF2-40B4-BE49-F238E27FC236}">
              <a16:creationId xmlns:a16="http://schemas.microsoft.com/office/drawing/2014/main" id="{3E6AF731-4D81-4F74-990F-E88E5E7331B5}"/>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97" name="CuadroTexto 96">
          <a:extLst>
            <a:ext uri="{FF2B5EF4-FFF2-40B4-BE49-F238E27FC236}">
              <a16:creationId xmlns:a16="http://schemas.microsoft.com/office/drawing/2014/main" id="{8328132C-3DF1-4E94-95B1-13DB64105949}"/>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98" name="CuadroTexto 97">
          <a:extLst>
            <a:ext uri="{FF2B5EF4-FFF2-40B4-BE49-F238E27FC236}">
              <a16:creationId xmlns:a16="http://schemas.microsoft.com/office/drawing/2014/main" id="{D311811A-1CA6-4874-98C0-0743CF63FE9C}"/>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99" name="CuadroTexto 98">
          <a:extLst>
            <a:ext uri="{FF2B5EF4-FFF2-40B4-BE49-F238E27FC236}">
              <a16:creationId xmlns:a16="http://schemas.microsoft.com/office/drawing/2014/main" id="{93C20870-847B-4105-9767-2003F2ADFC23}"/>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00" name="CuadroTexto 99">
          <a:extLst>
            <a:ext uri="{FF2B5EF4-FFF2-40B4-BE49-F238E27FC236}">
              <a16:creationId xmlns:a16="http://schemas.microsoft.com/office/drawing/2014/main" id="{28B77790-3381-4175-929F-387BE47DC209}"/>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01" name="CuadroTexto 100">
          <a:extLst>
            <a:ext uri="{FF2B5EF4-FFF2-40B4-BE49-F238E27FC236}">
              <a16:creationId xmlns:a16="http://schemas.microsoft.com/office/drawing/2014/main" id="{FC6BE295-3DE4-4AD5-B693-55D43FA535BC}"/>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02" name="CuadroTexto 101">
          <a:extLst>
            <a:ext uri="{FF2B5EF4-FFF2-40B4-BE49-F238E27FC236}">
              <a16:creationId xmlns:a16="http://schemas.microsoft.com/office/drawing/2014/main" id="{7F5DEB23-818A-4000-8949-57BD561E2C21}"/>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03" name="CuadroTexto 102">
          <a:extLst>
            <a:ext uri="{FF2B5EF4-FFF2-40B4-BE49-F238E27FC236}">
              <a16:creationId xmlns:a16="http://schemas.microsoft.com/office/drawing/2014/main" id="{643691BA-F124-4CD0-8989-6277E9EEF27B}"/>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04" name="CuadroTexto 103">
          <a:extLst>
            <a:ext uri="{FF2B5EF4-FFF2-40B4-BE49-F238E27FC236}">
              <a16:creationId xmlns:a16="http://schemas.microsoft.com/office/drawing/2014/main" id="{5ACD1CCA-8447-4859-B73E-E204EC18DCCB}"/>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06" name="CuadroTexto 105">
          <a:extLst>
            <a:ext uri="{FF2B5EF4-FFF2-40B4-BE49-F238E27FC236}">
              <a16:creationId xmlns:a16="http://schemas.microsoft.com/office/drawing/2014/main" id="{8A1EFEE6-2C4B-4C7D-9538-58B89B32B53C}"/>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0" name="CuadroTexto 109">
          <a:extLst>
            <a:ext uri="{FF2B5EF4-FFF2-40B4-BE49-F238E27FC236}">
              <a16:creationId xmlns:a16="http://schemas.microsoft.com/office/drawing/2014/main" id="{D7A194A1-E6D6-4640-AAB2-738E714C9D4B}"/>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1" name="CuadroTexto 110">
          <a:extLst>
            <a:ext uri="{FF2B5EF4-FFF2-40B4-BE49-F238E27FC236}">
              <a16:creationId xmlns:a16="http://schemas.microsoft.com/office/drawing/2014/main" id="{8F29F09E-C506-4DFF-8768-3F69EA03C06F}"/>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2" name="CuadroTexto 111">
          <a:extLst>
            <a:ext uri="{FF2B5EF4-FFF2-40B4-BE49-F238E27FC236}">
              <a16:creationId xmlns:a16="http://schemas.microsoft.com/office/drawing/2014/main" id="{7A05DABB-937E-4FDC-BFC2-25B3FD9693A9}"/>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13" name="CuadroTexto 112">
          <a:extLst>
            <a:ext uri="{FF2B5EF4-FFF2-40B4-BE49-F238E27FC236}">
              <a16:creationId xmlns:a16="http://schemas.microsoft.com/office/drawing/2014/main" id="{4CB8DFD8-3A82-459A-9D98-2A5EBC053489}"/>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14" name="CuadroTexto 113">
          <a:extLst>
            <a:ext uri="{FF2B5EF4-FFF2-40B4-BE49-F238E27FC236}">
              <a16:creationId xmlns:a16="http://schemas.microsoft.com/office/drawing/2014/main" id="{E3058926-209A-49D0-9E84-D8CE2AA888CE}"/>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15" name="CuadroTexto 114">
          <a:extLst>
            <a:ext uri="{FF2B5EF4-FFF2-40B4-BE49-F238E27FC236}">
              <a16:creationId xmlns:a16="http://schemas.microsoft.com/office/drawing/2014/main" id="{C6BE13D3-98B7-4F97-9359-18E2EB058CC5}"/>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16" name="CuadroTexto 115">
          <a:extLst>
            <a:ext uri="{FF2B5EF4-FFF2-40B4-BE49-F238E27FC236}">
              <a16:creationId xmlns:a16="http://schemas.microsoft.com/office/drawing/2014/main" id="{3F9F52B1-8C47-4087-A791-C633D45828CE}"/>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7" name="CuadroTexto 116">
          <a:extLst>
            <a:ext uri="{FF2B5EF4-FFF2-40B4-BE49-F238E27FC236}">
              <a16:creationId xmlns:a16="http://schemas.microsoft.com/office/drawing/2014/main" id="{8672B6F5-4B58-4DC0-8695-8A88BEFA9F1E}"/>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8" name="CuadroTexto 117">
          <a:extLst>
            <a:ext uri="{FF2B5EF4-FFF2-40B4-BE49-F238E27FC236}">
              <a16:creationId xmlns:a16="http://schemas.microsoft.com/office/drawing/2014/main" id="{A8CEF092-C724-43C2-A5D0-466AF80A8A83}"/>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19" name="CuadroTexto 118">
          <a:extLst>
            <a:ext uri="{FF2B5EF4-FFF2-40B4-BE49-F238E27FC236}">
              <a16:creationId xmlns:a16="http://schemas.microsoft.com/office/drawing/2014/main" id="{CFCF2E64-87AA-415F-9E66-C35FF1E9D3F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20" name="CuadroTexto 119">
          <a:extLst>
            <a:ext uri="{FF2B5EF4-FFF2-40B4-BE49-F238E27FC236}">
              <a16:creationId xmlns:a16="http://schemas.microsoft.com/office/drawing/2014/main" id="{B531D00E-E5EA-41D8-B932-153A674FAF2D}"/>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21" name="CuadroTexto 120">
          <a:extLst>
            <a:ext uri="{FF2B5EF4-FFF2-40B4-BE49-F238E27FC236}">
              <a16:creationId xmlns:a16="http://schemas.microsoft.com/office/drawing/2014/main" id="{CF49589A-6064-4ACD-9E36-7737181FCE63}"/>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22" name="CuadroTexto 121">
          <a:extLst>
            <a:ext uri="{FF2B5EF4-FFF2-40B4-BE49-F238E27FC236}">
              <a16:creationId xmlns:a16="http://schemas.microsoft.com/office/drawing/2014/main" id="{D4882865-34DB-432C-AB69-A9B84464F0CB}"/>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23" name="CuadroTexto 122">
          <a:extLst>
            <a:ext uri="{FF2B5EF4-FFF2-40B4-BE49-F238E27FC236}">
              <a16:creationId xmlns:a16="http://schemas.microsoft.com/office/drawing/2014/main" id="{058D8726-7327-4F17-ACA3-1B977782305A}"/>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24" name="CuadroTexto 123">
          <a:extLst>
            <a:ext uri="{FF2B5EF4-FFF2-40B4-BE49-F238E27FC236}">
              <a16:creationId xmlns:a16="http://schemas.microsoft.com/office/drawing/2014/main" id="{18D17C1E-AFF1-4B2D-ABA9-8F1E878A7650}"/>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25" name="CuadroTexto 124">
          <a:extLst>
            <a:ext uri="{FF2B5EF4-FFF2-40B4-BE49-F238E27FC236}">
              <a16:creationId xmlns:a16="http://schemas.microsoft.com/office/drawing/2014/main" id="{F8D78530-E25F-4A92-88E4-7A12DDD76A67}"/>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26" name="CuadroTexto 125">
          <a:extLst>
            <a:ext uri="{FF2B5EF4-FFF2-40B4-BE49-F238E27FC236}">
              <a16:creationId xmlns:a16="http://schemas.microsoft.com/office/drawing/2014/main" id="{F3DBC52F-E9A0-431A-9BFC-B9A832A759CD}"/>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27" name="CuadroTexto 126">
          <a:extLst>
            <a:ext uri="{FF2B5EF4-FFF2-40B4-BE49-F238E27FC236}">
              <a16:creationId xmlns:a16="http://schemas.microsoft.com/office/drawing/2014/main" id="{1482317A-7BE8-4E6F-9870-531E190CDB79}"/>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28" name="CuadroTexto 127">
          <a:extLst>
            <a:ext uri="{FF2B5EF4-FFF2-40B4-BE49-F238E27FC236}">
              <a16:creationId xmlns:a16="http://schemas.microsoft.com/office/drawing/2014/main" id="{1C4F41C1-FA8D-4602-BDA3-EF1127E207F5}"/>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29" name="CuadroTexto 128">
          <a:extLst>
            <a:ext uri="{FF2B5EF4-FFF2-40B4-BE49-F238E27FC236}">
              <a16:creationId xmlns:a16="http://schemas.microsoft.com/office/drawing/2014/main" id="{2E5BCA3D-1AAC-49F3-95A6-D6C636126FB9}"/>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30" name="CuadroTexto 129">
          <a:extLst>
            <a:ext uri="{FF2B5EF4-FFF2-40B4-BE49-F238E27FC236}">
              <a16:creationId xmlns:a16="http://schemas.microsoft.com/office/drawing/2014/main" id="{AF5A1521-EA7E-41BD-B886-E73ADFA1CADA}"/>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xdr:row>
      <xdr:rowOff>0</xdr:rowOff>
    </xdr:from>
    <xdr:ext cx="184731" cy="264560"/>
    <xdr:sp macro="" textlink="">
      <xdr:nvSpPr>
        <xdr:cNvPr id="131" name="CuadroTexto 130">
          <a:extLst>
            <a:ext uri="{FF2B5EF4-FFF2-40B4-BE49-F238E27FC236}">
              <a16:creationId xmlns:a16="http://schemas.microsoft.com/office/drawing/2014/main" id="{F2AEFD1A-03FC-40A8-B6AB-68C4EFE5D3F3}"/>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32" name="CuadroTexto 131">
          <a:extLst>
            <a:ext uri="{FF2B5EF4-FFF2-40B4-BE49-F238E27FC236}">
              <a16:creationId xmlns:a16="http://schemas.microsoft.com/office/drawing/2014/main" id="{C2D6F472-04E3-4E06-8A3F-0FD86A342883}"/>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33" name="CuadroTexto 132">
          <a:extLst>
            <a:ext uri="{FF2B5EF4-FFF2-40B4-BE49-F238E27FC236}">
              <a16:creationId xmlns:a16="http://schemas.microsoft.com/office/drawing/2014/main" id="{0571DF42-3D29-4F37-845E-F9B2D6C10B8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34" name="CuadroTexto 133">
          <a:extLst>
            <a:ext uri="{FF2B5EF4-FFF2-40B4-BE49-F238E27FC236}">
              <a16:creationId xmlns:a16="http://schemas.microsoft.com/office/drawing/2014/main" id="{173FB98B-27B6-4BE6-BDA3-69D959DBC7ED}"/>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xdr:row>
      <xdr:rowOff>0</xdr:rowOff>
    </xdr:from>
    <xdr:ext cx="184731" cy="264560"/>
    <xdr:sp macro="" textlink="">
      <xdr:nvSpPr>
        <xdr:cNvPr id="135" name="CuadroTexto 134">
          <a:extLst>
            <a:ext uri="{FF2B5EF4-FFF2-40B4-BE49-F238E27FC236}">
              <a16:creationId xmlns:a16="http://schemas.microsoft.com/office/drawing/2014/main" id="{02382CAC-356D-4139-88C2-6B6CDCC3F964}"/>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36" name="CuadroTexto 135">
          <a:extLst>
            <a:ext uri="{FF2B5EF4-FFF2-40B4-BE49-F238E27FC236}">
              <a16:creationId xmlns:a16="http://schemas.microsoft.com/office/drawing/2014/main" id="{6C187A0F-9D7B-4594-940D-F41FE5913FB8}"/>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xdr:row>
      <xdr:rowOff>0</xdr:rowOff>
    </xdr:from>
    <xdr:ext cx="184731" cy="264560"/>
    <xdr:sp macro="" textlink="">
      <xdr:nvSpPr>
        <xdr:cNvPr id="137" name="CuadroTexto 136">
          <a:extLst>
            <a:ext uri="{FF2B5EF4-FFF2-40B4-BE49-F238E27FC236}">
              <a16:creationId xmlns:a16="http://schemas.microsoft.com/office/drawing/2014/main" id="{7E8C752D-70E0-4707-B283-320A795EDDB7}"/>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0" name="CuadroTexto 139">
          <a:extLst>
            <a:ext uri="{FF2B5EF4-FFF2-40B4-BE49-F238E27FC236}">
              <a16:creationId xmlns:a16="http://schemas.microsoft.com/office/drawing/2014/main" id="{8918ABF4-812C-423D-B8C2-A034C567A026}"/>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1" name="CuadroTexto 140">
          <a:extLst>
            <a:ext uri="{FF2B5EF4-FFF2-40B4-BE49-F238E27FC236}">
              <a16:creationId xmlns:a16="http://schemas.microsoft.com/office/drawing/2014/main" id="{C20D457C-9B31-4209-81D7-31853920D7D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2" name="CuadroTexto 141">
          <a:extLst>
            <a:ext uri="{FF2B5EF4-FFF2-40B4-BE49-F238E27FC236}">
              <a16:creationId xmlns:a16="http://schemas.microsoft.com/office/drawing/2014/main" id="{4B1C4D27-63D4-40EF-964C-5E11DFED87BA}"/>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43" name="CuadroTexto 142">
          <a:extLst>
            <a:ext uri="{FF2B5EF4-FFF2-40B4-BE49-F238E27FC236}">
              <a16:creationId xmlns:a16="http://schemas.microsoft.com/office/drawing/2014/main" id="{C762D38C-D344-47FB-893A-1B32F206CE40}"/>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44" name="CuadroTexto 143">
          <a:extLst>
            <a:ext uri="{FF2B5EF4-FFF2-40B4-BE49-F238E27FC236}">
              <a16:creationId xmlns:a16="http://schemas.microsoft.com/office/drawing/2014/main" id="{392E0F6B-B87D-4C7D-827D-74C0D9C3F136}"/>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45" name="CuadroTexto 144">
          <a:extLst>
            <a:ext uri="{FF2B5EF4-FFF2-40B4-BE49-F238E27FC236}">
              <a16:creationId xmlns:a16="http://schemas.microsoft.com/office/drawing/2014/main" id="{8452EB06-4B3A-4113-A412-010C4073D39B}"/>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46" name="CuadroTexto 145">
          <a:extLst>
            <a:ext uri="{FF2B5EF4-FFF2-40B4-BE49-F238E27FC236}">
              <a16:creationId xmlns:a16="http://schemas.microsoft.com/office/drawing/2014/main" id="{68B3CAF0-0331-4CAE-9C13-03BE9545C35B}"/>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7" name="CuadroTexto 146">
          <a:extLst>
            <a:ext uri="{FF2B5EF4-FFF2-40B4-BE49-F238E27FC236}">
              <a16:creationId xmlns:a16="http://schemas.microsoft.com/office/drawing/2014/main" id="{9FC84AD9-13DF-4CE8-B8FE-B45D4F6F8061}"/>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8" name="CuadroTexto 147">
          <a:extLst>
            <a:ext uri="{FF2B5EF4-FFF2-40B4-BE49-F238E27FC236}">
              <a16:creationId xmlns:a16="http://schemas.microsoft.com/office/drawing/2014/main" id="{172DE403-0956-4A6E-BC81-270BD20B20D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49" name="CuadroTexto 148">
          <a:extLst>
            <a:ext uri="{FF2B5EF4-FFF2-40B4-BE49-F238E27FC236}">
              <a16:creationId xmlns:a16="http://schemas.microsoft.com/office/drawing/2014/main" id="{E5E910E4-B20C-4C4D-AD0D-9629E754FBB6}"/>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50" name="CuadroTexto 149">
          <a:extLst>
            <a:ext uri="{FF2B5EF4-FFF2-40B4-BE49-F238E27FC236}">
              <a16:creationId xmlns:a16="http://schemas.microsoft.com/office/drawing/2014/main" id="{4AFB98CA-177C-470F-BBD0-F32402BDCB23}"/>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51" name="CuadroTexto 150">
          <a:extLst>
            <a:ext uri="{FF2B5EF4-FFF2-40B4-BE49-F238E27FC236}">
              <a16:creationId xmlns:a16="http://schemas.microsoft.com/office/drawing/2014/main" id="{F5E89D33-01E4-4B8E-A924-C169ADDD4BBD}"/>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52" name="CuadroTexto 151">
          <a:extLst>
            <a:ext uri="{FF2B5EF4-FFF2-40B4-BE49-F238E27FC236}">
              <a16:creationId xmlns:a16="http://schemas.microsoft.com/office/drawing/2014/main" id="{AC419E12-A907-4FAA-B116-678E9516BA0C}"/>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53" name="CuadroTexto 152">
          <a:extLst>
            <a:ext uri="{FF2B5EF4-FFF2-40B4-BE49-F238E27FC236}">
              <a16:creationId xmlns:a16="http://schemas.microsoft.com/office/drawing/2014/main" id="{836EAFAE-1976-40F3-89AD-02D617390E9F}"/>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54" name="CuadroTexto 153">
          <a:extLst>
            <a:ext uri="{FF2B5EF4-FFF2-40B4-BE49-F238E27FC236}">
              <a16:creationId xmlns:a16="http://schemas.microsoft.com/office/drawing/2014/main" id="{1B2257C0-F3E9-47A8-9717-0B14B5A82723}"/>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55" name="CuadroTexto 154">
          <a:extLst>
            <a:ext uri="{FF2B5EF4-FFF2-40B4-BE49-F238E27FC236}">
              <a16:creationId xmlns:a16="http://schemas.microsoft.com/office/drawing/2014/main" id="{E07533EC-00C7-4B4C-9EB1-40AA2C78702C}"/>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56" name="CuadroTexto 155">
          <a:extLst>
            <a:ext uri="{FF2B5EF4-FFF2-40B4-BE49-F238E27FC236}">
              <a16:creationId xmlns:a16="http://schemas.microsoft.com/office/drawing/2014/main" id="{B2078EB5-845C-476C-A6F4-B03BD8D0ED00}"/>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57" name="CuadroTexto 156">
          <a:extLst>
            <a:ext uri="{FF2B5EF4-FFF2-40B4-BE49-F238E27FC236}">
              <a16:creationId xmlns:a16="http://schemas.microsoft.com/office/drawing/2014/main" id="{FDB3307E-E1D5-49FC-970E-DFD194E6E6D2}"/>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58" name="CuadroTexto 157">
          <a:extLst>
            <a:ext uri="{FF2B5EF4-FFF2-40B4-BE49-F238E27FC236}">
              <a16:creationId xmlns:a16="http://schemas.microsoft.com/office/drawing/2014/main" id="{18FDD035-FFFB-4AE6-810F-68281F195614}"/>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59" name="CuadroTexto 158">
          <a:extLst>
            <a:ext uri="{FF2B5EF4-FFF2-40B4-BE49-F238E27FC236}">
              <a16:creationId xmlns:a16="http://schemas.microsoft.com/office/drawing/2014/main" id="{9D3603B6-5B66-44E2-B7AE-2D80FD36B925}"/>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60" name="CuadroTexto 159">
          <a:extLst>
            <a:ext uri="{FF2B5EF4-FFF2-40B4-BE49-F238E27FC236}">
              <a16:creationId xmlns:a16="http://schemas.microsoft.com/office/drawing/2014/main" id="{07E154F7-6A58-412B-A6E6-B53351778406}"/>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61" name="CuadroTexto 160">
          <a:extLst>
            <a:ext uri="{FF2B5EF4-FFF2-40B4-BE49-F238E27FC236}">
              <a16:creationId xmlns:a16="http://schemas.microsoft.com/office/drawing/2014/main" id="{6AA8E907-BE90-472A-B885-A771CC577CE2}"/>
            </a:ext>
          </a:extLst>
        </xdr:cNvPr>
        <xdr:cNvSpPr txBox="1"/>
      </xdr:nvSpPr>
      <xdr:spPr>
        <a:xfrm>
          <a:off x="5915025"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2" name="CuadroTexto 161">
          <a:extLst>
            <a:ext uri="{FF2B5EF4-FFF2-40B4-BE49-F238E27FC236}">
              <a16:creationId xmlns:a16="http://schemas.microsoft.com/office/drawing/2014/main" id="{203A3C2E-6826-4D6A-AA78-BB216E070358}"/>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3" name="CuadroTexto 162">
          <a:extLst>
            <a:ext uri="{FF2B5EF4-FFF2-40B4-BE49-F238E27FC236}">
              <a16:creationId xmlns:a16="http://schemas.microsoft.com/office/drawing/2014/main" id="{0E72AE4A-2039-4AB9-B958-8480D17D6E32}"/>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4" name="CuadroTexto 163">
          <a:extLst>
            <a:ext uri="{FF2B5EF4-FFF2-40B4-BE49-F238E27FC236}">
              <a16:creationId xmlns:a16="http://schemas.microsoft.com/office/drawing/2014/main" id="{C05B1C04-9A11-41EE-AC1E-77B243D92BDC}"/>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5" name="CuadroTexto 164">
          <a:extLst>
            <a:ext uri="{FF2B5EF4-FFF2-40B4-BE49-F238E27FC236}">
              <a16:creationId xmlns:a16="http://schemas.microsoft.com/office/drawing/2014/main" id="{61C6876A-ABEB-4351-A4A9-4C2AC6649701}"/>
            </a:ext>
          </a:extLst>
        </xdr:cNvPr>
        <xdr:cNvSpPr txBox="1"/>
      </xdr:nvSpPr>
      <xdr:spPr>
        <a:xfrm>
          <a:off x="7562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66" name="CuadroTexto 165">
          <a:extLst>
            <a:ext uri="{FF2B5EF4-FFF2-40B4-BE49-F238E27FC236}">
              <a16:creationId xmlns:a16="http://schemas.microsoft.com/office/drawing/2014/main" id="{C68018B1-7825-4A1B-AD65-9D18A49B505F}"/>
            </a:ext>
          </a:extLst>
        </xdr:cNvPr>
        <xdr:cNvSpPr txBox="1"/>
      </xdr:nvSpPr>
      <xdr:spPr>
        <a:xfrm>
          <a:off x="8324850" y="174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7" name="CuadroTexto 166">
          <a:extLst>
            <a:ext uri="{FF2B5EF4-FFF2-40B4-BE49-F238E27FC236}">
              <a16:creationId xmlns:a16="http://schemas.microsoft.com/office/drawing/2014/main" id="{A6317BE8-0172-44E4-9932-72B14412E648}"/>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8" name="CuadroTexto 167">
          <a:extLst>
            <a:ext uri="{FF2B5EF4-FFF2-40B4-BE49-F238E27FC236}">
              <a16:creationId xmlns:a16="http://schemas.microsoft.com/office/drawing/2014/main" id="{50AA2730-6E69-40C8-B9EC-11A830200354}"/>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69" name="CuadroTexto 168">
          <a:extLst>
            <a:ext uri="{FF2B5EF4-FFF2-40B4-BE49-F238E27FC236}">
              <a16:creationId xmlns:a16="http://schemas.microsoft.com/office/drawing/2014/main" id="{260AF86E-216F-4D1D-9FF3-669302BB5CC3}"/>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70" name="CuadroTexto 169">
          <a:extLst>
            <a:ext uri="{FF2B5EF4-FFF2-40B4-BE49-F238E27FC236}">
              <a16:creationId xmlns:a16="http://schemas.microsoft.com/office/drawing/2014/main" id="{05CA9A13-782B-4F41-9DF9-2A59368573A2}"/>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71" name="CuadroTexto 170">
          <a:extLst>
            <a:ext uri="{FF2B5EF4-FFF2-40B4-BE49-F238E27FC236}">
              <a16:creationId xmlns:a16="http://schemas.microsoft.com/office/drawing/2014/main" id="{DF313FA4-6A28-4291-BC7C-AF533A64C575}"/>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72" name="CuadroTexto 171">
          <a:extLst>
            <a:ext uri="{FF2B5EF4-FFF2-40B4-BE49-F238E27FC236}">
              <a16:creationId xmlns:a16="http://schemas.microsoft.com/office/drawing/2014/main" id="{2C661FB4-CE80-4A8F-A5AE-1F33276CB285}"/>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73" name="CuadroTexto 172">
          <a:extLst>
            <a:ext uri="{FF2B5EF4-FFF2-40B4-BE49-F238E27FC236}">
              <a16:creationId xmlns:a16="http://schemas.microsoft.com/office/drawing/2014/main" id="{AF8E645D-AA68-42EB-8BC7-9051CD08E3B1}"/>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74" name="CuadroTexto 173">
          <a:extLst>
            <a:ext uri="{FF2B5EF4-FFF2-40B4-BE49-F238E27FC236}">
              <a16:creationId xmlns:a16="http://schemas.microsoft.com/office/drawing/2014/main" id="{79AB6BC0-F223-4BB1-A26B-97411B44D612}"/>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75" name="CuadroTexto 174">
          <a:extLst>
            <a:ext uri="{FF2B5EF4-FFF2-40B4-BE49-F238E27FC236}">
              <a16:creationId xmlns:a16="http://schemas.microsoft.com/office/drawing/2014/main" id="{B87776C4-8E31-4ACF-A7E4-BDD4A439915B}"/>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76" name="CuadroTexto 175">
          <a:extLst>
            <a:ext uri="{FF2B5EF4-FFF2-40B4-BE49-F238E27FC236}">
              <a16:creationId xmlns:a16="http://schemas.microsoft.com/office/drawing/2014/main" id="{B1FCACD5-2254-446E-847B-453842ABAF85}"/>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77" name="CuadroTexto 176">
          <a:extLst>
            <a:ext uri="{FF2B5EF4-FFF2-40B4-BE49-F238E27FC236}">
              <a16:creationId xmlns:a16="http://schemas.microsoft.com/office/drawing/2014/main" id="{19E50A7E-27E0-42D1-B6B5-12A1D4A88789}"/>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78" name="CuadroTexto 177">
          <a:extLst>
            <a:ext uri="{FF2B5EF4-FFF2-40B4-BE49-F238E27FC236}">
              <a16:creationId xmlns:a16="http://schemas.microsoft.com/office/drawing/2014/main" id="{E0147703-EF31-4F8E-9368-EA03D7496B78}"/>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79" name="CuadroTexto 178">
          <a:extLst>
            <a:ext uri="{FF2B5EF4-FFF2-40B4-BE49-F238E27FC236}">
              <a16:creationId xmlns:a16="http://schemas.microsoft.com/office/drawing/2014/main" id="{0B8FF98F-B698-49C8-95FE-97FE3801F1A3}"/>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80" name="CuadroTexto 179">
          <a:extLst>
            <a:ext uri="{FF2B5EF4-FFF2-40B4-BE49-F238E27FC236}">
              <a16:creationId xmlns:a16="http://schemas.microsoft.com/office/drawing/2014/main" id="{B51B3156-BFC3-42DE-9417-12647F930E27}"/>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81" name="CuadroTexto 180">
          <a:extLst>
            <a:ext uri="{FF2B5EF4-FFF2-40B4-BE49-F238E27FC236}">
              <a16:creationId xmlns:a16="http://schemas.microsoft.com/office/drawing/2014/main" id="{1B3E4BA3-20CE-4DE6-84F9-7B71BB784D63}"/>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82" name="CuadroTexto 181">
          <a:extLst>
            <a:ext uri="{FF2B5EF4-FFF2-40B4-BE49-F238E27FC236}">
              <a16:creationId xmlns:a16="http://schemas.microsoft.com/office/drawing/2014/main" id="{716C3F29-0553-4282-B4FA-5322EB66E24E}"/>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83" name="CuadroTexto 182">
          <a:extLst>
            <a:ext uri="{FF2B5EF4-FFF2-40B4-BE49-F238E27FC236}">
              <a16:creationId xmlns:a16="http://schemas.microsoft.com/office/drawing/2014/main" id="{79D8C8E3-AE9D-46AA-A1EF-714CEAAE3ECD}"/>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84" name="CuadroTexto 183">
          <a:extLst>
            <a:ext uri="{FF2B5EF4-FFF2-40B4-BE49-F238E27FC236}">
              <a16:creationId xmlns:a16="http://schemas.microsoft.com/office/drawing/2014/main" id="{DA04C9F8-CBC0-41D8-A111-83925255AB82}"/>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85" name="CuadroTexto 184">
          <a:extLst>
            <a:ext uri="{FF2B5EF4-FFF2-40B4-BE49-F238E27FC236}">
              <a16:creationId xmlns:a16="http://schemas.microsoft.com/office/drawing/2014/main" id="{536D4CD5-8CEA-4BAB-8C78-2868C246FA0A}"/>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86" name="CuadroTexto 185">
          <a:extLst>
            <a:ext uri="{FF2B5EF4-FFF2-40B4-BE49-F238E27FC236}">
              <a16:creationId xmlns:a16="http://schemas.microsoft.com/office/drawing/2014/main" id="{1AB1AAF4-75E0-4432-9171-BEB5BF2A4807}"/>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87" name="CuadroTexto 186">
          <a:extLst>
            <a:ext uri="{FF2B5EF4-FFF2-40B4-BE49-F238E27FC236}">
              <a16:creationId xmlns:a16="http://schemas.microsoft.com/office/drawing/2014/main" id="{96A63D44-AAF1-4083-A438-5E4288EA9B78}"/>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88" name="CuadroTexto 187">
          <a:extLst>
            <a:ext uri="{FF2B5EF4-FFF2-40B4-BE49-F238E27FC236}">
              <a16:creationId xmlns:a16="http://schemas.microsoft.com/office/drawing/2014/main" id="{56979A4C-865D-460D-9E46-29DCF1C29ECF}"/>
            </a:ext>
          </a:extLst>
        </xdr:cNvPr>
        <xdr:cNvSpPr txBox="1"/>
      </xdr:nvSpPr>
      <xdr:spPr>
        <a:xfrm>
          <a:off x="4962525"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89" name="CuadroTexto 188">
          <a:extLst>
            <a:ext uri="{FF2B5EF4-FFF2-40B4-BE49-F238E27FC236}">
              <a16:creationId xmlns:a16="http://schemas.microsoft.com/office/drawing/2014/main" id="{6EC89CE3-6C16-436B-B1BD-D6254F6D2680}"/>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0" name="CuadroTexto 189">
          <a:extLst>
            <a:ext uri="{FF2B5EF4-FFF2-40B4-BE49-F238E27FC236}">
              <a16:creationId xmlns:a16="http://schemas.microsoft.com/office/drawing/2014/main" id="{7B81782A-4942-4F3C-A224-C0726ECE66BA}"/>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1" name="CuadroTexto 190">
          <a:extLst>
            <a:ext uri="{FF2B5EF4-FFF2-40B4-BE49-F238E27FC236}">
              <a16:creationId xmlns:a16="http://schemas.microsoft.com/office/drawing/2014/main" id="{8FEF58DD-2454-402B-AB92-9FA9A2D5C9F5}"/>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2" name="CuadroTexto 191">
          <a:extLst>
            <a:ext uri="{FF2B5EF4-FFF2-40B4-BE49-F238E27FC236}">
              <a16:creationId xmlns:a16="http://schemas.microsoft.com/office/drawing/2014/main" id="{A16A1613-E6A9-4075-BD95-6C14F1B02210}"/>
            </a:ext>
          </a:extLst>
        </xdr:cNvPr>
        <xdr:cNvSpPr txBox="1"/>
      </xdr:nvSpPr>
      <xdr:spPr>
        <a:xfrm>
          <a:off x="64198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93" name="CuadroTexto 192">
          <a:extLst>
            <a:ext uri="{FF2B5EF4-FFF2-40B4-BE49-F238E27FC236}">
              <a16:creationId xmlns:a16="http://schemas.microsoft.com/office/drawing/2014/main" id="{D3798B79-D01F-4332-99AF-F253BCF74FCC}"/>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94" name="CuadroTexto 193">
          <a:extLst>
            <a:ext uri="{FF2B5EF4-FFF2-40B4-BE49-F238E27FC236}">
              <a16:creationId xmlns:a16="http://schemas.microsoft.com/office/drawing/2014/main" id="{32B7E773-F190-42F2-9087-453D3971353D}"/>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195" name="CuadroTexto 194">
          <a:extLst>
            <a:ext uri="{FF2B5EF4-FFF2-40B4-BE49-F238E27FC236}">
              <a16:creationId xmlns:a16="http://schemas.microsoft.com/office/drawing/2014/main" id="{9CE0CE2C-BBF2-4FA8-A5BB-E746C6FBBEA8}"/>
            </a:ext>
          </a:extLst>
        </xdr:cNvPr>
        <xdr:cNvSpPr txBox="1"/>
      </xdr:nvSpPr>
      <xdr:spPr>
        <a:xfrm>
          <a:off x="7296150" y="159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6" name="CuadroTexto 195">
          <a:extLst>
            <a:ext uri="{FF2B5EF4-FFF2-40B4-BE49-F238E27FC236}">
              <a16:creationId xmlns:a16="http://schemas.microsoft.com/office/drawing/2014/main" id="{47CD7FE3-42AC-4806-B6BD-551D7573E924}"/>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7" name="CuadroTexto 196">
          <a:extLst>
            <a:ext uri="{FF2B5EF4-FFF2-40B4-BE49-F238E27FC236}">
              <a16:creationId xmlns:a16="http://schemas.microsoft.com/office/drawing/2014/main" id="{D69B19C9-3178-4A1C-9EF2-6F111CFF64E5}"/>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198" name="CuadroTexto 197">
          <a:extLst>
            <a:ext uri="{FF2B5EF4-FFF2-40B4-BE49-F238E27FC236}">
              <a16:creationId xmlns:a16="http://schemas.microsoft.com/office/drawing/2014/main" id="{0BEA350F-2F15-465B-AD2B-9DA1421AAC08}"/>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199" name="CuadroTexto 198">
          <a:extLst>
            <a:ext uri="{FF2B5EF4-FFF2-40B4-BE49-F238E27FC236}">
              <a16:creationId xmlns:a16="http://schemas.microsoft.com/office/drawing/2014/main" id="{82355A60-DA04-4148-A6C8-4733CB70CDC9}"/>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00" name="CuadroTexto 199">
          <a:extLst>
            <a:ext uri="{FF2B5EF4-FFF2-40B4-BE49-F238E27FC236}">
              <a16:creationId xmlns:a16="http://schemas.microsoft.com/office/drawing/2014/main" id="{CA2D8563-2484-47EF-B108-FF74A610B855}"/>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01" name="CuadroTexto 200">
          <a:extLst>
            <a:ext uri="{FF2B5EF4-FFF2-40B4-BE49-F238E27FC236}">
              <a16:creationId xmlns:a16="http://schemas.microsoft.com/office/drawing/2014/main" id="{1832E652-317A-4FFF-B876-156B9C98E302}"/>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02" name="CuadroTexto 201">
          <a:extLst>
            <a:ext uri="{FF2B5EF4-FFF2-40B4-BE49-F238E27FC236}">
              <a16:creationId xmlns:a16="http://schemas.microsoft.com/office/drawing/2014/main" id="{FD158AA1-8827-4779-BB18-BFDCDA88D63B}"/>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03" name="CuadroTexto 202">
          <a:extLst>
            <a:ext uri="{FF2B5EF4-FFF2-40B4-BE49-F238E27FC236}">
              <a16:creationId xmlns:a16="http://schemas.microsoft.com/office/drawing/2014/main" id="{2C17BBFB-4B90-49BB-80D1-EA9735BE0FFC}"/>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04" name="CuadroTexto 203">
          <a:extLst>
            <a:ext uri="{FF2B5EF4-FFF2-40B4-BE49-F238E27FC236}">
              <a16:creationId xmlns:a16="http://schemas.microsoft.com/office/drawing/2014/main" id="{487C0564-A0ED-4675-8055-832B5CCF7C23}"/>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05" name="CuadroTexto 204">
          <a:extLst>
            <a:ext uri="{FF2B5EF4-FFF2-40B4-BE49-F238E27FC236}">
              <a16:creationId xmlns:a16="http://schemas.microsoft.com/office/drawing/2014/main" id="{C9AC4EE0-EC77-4B4B-B917-CB0D12AEDAD9}"/>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06" name="CuadroTexto 205">
          <a:extLst>
            <a:ext uri="{FF2B5EF4-FFF2-40B4-BE49-F238E27FC236}">
              <a16:creationId xmlns:a16="http://schemas.microsoft.com/office/drawing/2014/main" id="{DF59DA46-EA2C-42B2-B078-0831B02689AD}"/>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207" name="CuadroTexto 206">
          <a:extLst>
            <a:ext uri="{FF2B5EF4-FFF2-40B4-BE49-F238E27FC236}">
              <a16:creationId xmlns:a16="http://schemas.microsoft.com/office/drawing/2014/main" id="{3B711EC6-7B43-4BD2-90FC-C46E63A839C0}"/>
            </a:ext>
          </a:extLst>
        </xdr:cNvPr>
        <xdr:cNvSpPr txBox="1"/>
      </xdr:nvSpPr>
      <xdr:spPr>
        <a:xfrm>
          <a:off x="72961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208" name="CuadroTexto 207">
          <a:extLst>
            <a:ext uri="{FF2B5EF4-FFF2-40B4-BE49-F238E27FC236}">
              <a16:creationId xmlns:a16="http://schemas.microsoft.com/office/drawing/2014/main" id="{7A2FF789-F3ED-483F-8787-00CC201D9CF3}"/>
            </a:ext>
          </a:extLst>
        </xdr:cNvPr>
        <xdr:cNvSpPr txBox="1"/>
      </xdr:nvSpPr>
      <xdr:spPr>
        <a:xfrm>
          <a:off x="72961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10</xdr:col>
      <xdr:colOff>581025</xdr:colOff>
      <xdr:row>20</xdr:row>
      <xdr:rowOff>0</xdr:rowOff>
    </xdr:from>
    <xdr:ext cx="184731" cy="264560"/>
    <xdr:sp macro="" textlink="">
      <xdr:nvSpPr>
        <xdr:cNvPr id="209" name="CuadroTexto 208">
          <a:extLst>
            <a:ext uri="{FF2B5EF4-FFF2-40B4-BE49-F238E27FC236}">
              <a16:creationId xmlns:a16="http://schemas.microsoft.com/office/drawing/2014/main" id="{492C9BF1-879E-4B98-9E15-F7B7AF135006}"/>
            </a:ext>
          </a:extLst>
        </xdr:cNvPr>
        <xdr:cNvSpPr txBox="1"/>
      </xdr:nvSpPr>
      <xdr:spPr>
        <a:xfrm>
          <a:off x="72961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0" name="CuadroTexto 209">
          <a:extLst>
            <a:ext uri="{FF2B5EF4-FFF2-40B4-BE49-F238E27FC236}">
              <a16:creationId xmlns:a16="http://schemas.microsoft.com/office/drawing/2014/main" id="{8ABCA2BD-E483-46E1-933D-C67462411192}"/>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1" name="CuadroTexto 210">
          <a:extLst>
            <a:ext uri="{FF2B5EF4-FFF2-40B4-BE49-F238E27FC236}">
              <a16:creationId xmlns:a16="http://schemas.microsoft.com/office/drawing/2014/main" id="{B4F1263D-3669-42D8-B4E0-5EA59B7E4036}"/>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2" name="CuadroTexto 211">
          <a:extLst>
            <a:ext uri="{FF2B5EF4-FFF2-40B4-BE49-F238E27FC236}">
              <a16:creationId xmlns:a16="http://schemas.microsoft.com/office/drawing/2014/main" id="{3DAE4909-0A2A-4123-9D87-1CC1CF7397D4}"/>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13" name="CuadroTexto 212">
          <a:extLst>
            <a:ext uri="{FF2B5EF4-FFF2-40B4-BE49-F238E27FC236}">
              <a16:creationId xmlns:a16="http://schemas.microsoft.com/office/drawing/2014/main" id="{756E205D-1136-4745-9E08-BDE1E61A5FF5}"/>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14" name="CuadroTexto 213">
          <a:extLst>
            <a:ext uri="{FF2B5EF4-FFF2-40B4-BE49-F238E27FC236}">
              <a16:creationId xmlns:a16="http://schemas.microsoft.com/office/drawing/2014/main" id="{2A0B654B-5502-45A7-AEE9-3A9237C06559}"/>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15" name="CuadroTexto 214">
          <a:extLst>
            <a:ext uri="{FF2B5EF4-FFF2-40B4-BE49-F238E27FC236}">
              <a16:creationId xmlns:a16="http://schemas.microsoft.com/office/drawing/2014/main" id="{799E3F1D-1507-4107-8567-A988A5FB53D7}"/>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7</xdr:col>
      <xdr:colOff>581025</xdr:colOff>
      <xdr:row>20</xdr:row>
      <xdr:rowOff>0</xdr:rowOff>
    </xdr:from>
    <xdr:ext cx="184731" cy="264560"/>
    <xdr:sp macro="" textlink="">
      <xdr:nvSpPr>
        <xdr:cNvPr id="216" name="CuadroTexto 215">
          <a:extLst>
            <a:ext uri="{FF2B5EF4-FFF2-40B4-BE49-F238E27FC236}">
              <a16:creationId xmlns:a16="http://schemas.microsoft.com/office/drawing/2014/main" id="{F21C4A12-D1B8-4FC8-A4BE-513E956FAB6A}"/>
            </a:ext>
          </a:extLst>
        </xdr:cNvPr>
        <xdr:cNvSpPr txBox="1"/>
      </xdr:nvSpPr>
      <xdr:spPr>
        <a:xfrm>
          <a:off x="4962525"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7" name="CuadroTexto 216">
          <a:extLst>
            <a:ext uri="{FF2B5EF4-FFF2-40B4-BE49-F238E27FC236}">
              <a16:creationId xmlns:a16="http://schemas.microsoft.com/office/drawing/2014/main" id="{3FAF14F7-ECEB-4A56-BACB-560E8D8D0676}"/>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8" name="CuadroTexto 217">
          <a:extLst>
            <a:ext uri="{FF2B5EF4-FFF2-40B4-BE49-F238E27FC236}">
              <a16:creationId xmlns:a16="http://schemas.microsoft.com/office/drawing/2014/main" id="{BD6054B9-ABF5-40A1-88D5-29197694A4DE}"/>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19" name="CuadroTexto 218">
          <a:extLst>
            <a:ext uri="{FF2B5EF4-FFF2-40B4-BE49-F238E27FC236}">
              <a16:creationId xmlns:a16="http://schemas.microsoft.com/office/drawing/2014/main" id="{BC8FCD5B-2084-401E-ACFB-6A4AAAF4490F}"/>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9</xdr:col>
      <xdr:colOff>581025</xdr:colOff>
      <xdr:row>20</xdr:row>
      <xdr:rowOff>0</xdr:rowOff>
    </xdr:from>
    <xdr:ext cx="184731" cy="264560"/>
    <xdr:sp macro="" textlink="">
      <xdr:nvSpPr>
        <xdr:cNvPr id="220" name="CuadroTexto 219">
          <a:extLst>
            <a:ext uri="{FF2B5EF4-FFF2-40B4-BE49-F238E27FC236}">
              <a16:creationId xmlns:a16="http://schemas.microsoft.com/office/drawing/2014/main" id="{95E98952-F26D-4E7A-B9C4-2EDFC9586D0B}"/>
            </a:ext>
          </a:extLst>
        </xdr:cNvPr>
        <xdr:cNvSpPr txBox="1"/>
      </xdr:nvSpPr>
      <xdr:spPr>
        <a:xfrm>
          <a:off x="64198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42334</xdr:colOff>
      <xdr:row>0</xdr:row>
      <xdr:rowOff>0</xdr:rowOff>
    </xdr:from>
    <xdr:to>
      <xdr:col>20</xdr:col>
      <xdr:colOff>952500</xdr:colOff>
      <xdr:row>0</xdr:row>
      <xdr:rowOff>9524</xdr:rowOff>
    </xdr:to>
    <xdr:grpSp>
      <xdr:nvGrpSpPr>
        <xdr:cNvPr id="2" name="1 Grupo">
          <a:extLst>
            <a:ext uri="{FF2B5EF4-FFF2-40B4-BE49-F238E27FC236}">
              <a16:creationId xmlns:a16="http://schemas.microsoft.com/office/drawing/2014/main" id="{0EECF568-2132-4DD8-8024-E00CBADFC144}"/>
            </a:ext>
          </a:extLst>
        </xdr:cNvPr>
        <xdr:cNvGrpSpPr/>
      </xdr:nvGrpSpPr>
      <xdr:grpSpPr>
        <a:xfrm>
          <a:off x="42334" y="0"/>
          <a:ext cx="15726833" cy="9524"/>
          <a:chOff x="2758685" y="9998515"/>
          <a:chExt cx="9310047" cy="760253"/>
        </a:xfrm>
      </xdr:grpSpPr>
      <xdr:pic>
        <xdr:nvPicPr>
          <xdr:cNvPr id="3" name="3 Imagen">
            <a:extLst>
              <a:ext uri="{FF2B5EF4-FFF2-40B4-BE49-F238E27FC236}">
                <a16:creationId xmlns:a16="http://schemas.microsoft.com/office/drawing/2014/main" id="{9CA6A8E7-167E-4BCC-A744-DAB6282308E1}"/>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4940" t="25337" r="15240" b="14766"/>
          <a:stretch>
            <a:fillRect/>
          </a:stretch>
        </xdr:blipFill>
        <xdr:spPr bwMode="auto">
          <a:xfrm>
            <a:off x="2758685" y="9998515"/>
            <a:ext cx="9310047" cy="718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3 CuadroTexto">
            <a:extLst>
              <a:ext uri="{FF2B5EF4-FFF2-40B4-BE49-F238E27FC236}">
                <a16:creationId xmlns:a16="http://schemas.microsoft.com/office/drawing/2014/main" id="{87B615FA-D6C5-4C59-82B6-226DDF2466EF}"/>
              </a:ext>
            </a:extLst>
          </xdr:cNvPr>
          <xdr:cNvSpPr txBox="1"/>
        </xdr:nvSpPr>
        <xdr:spPr bwMode="auto">
          <a:xfrm>
            <a:off x="10151691" y="10051259"/>
            <a:ext cx="1731198" cy="555542"/>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600" b="1" i="0" u="none" strike="noStrike" kern="0" cap="none" spc="0" normalizeH="0" baseline="0" noProof="0">
                <a:ln>
                  <a:noFill/>
                </a:ln>
                <a:solidFill>
                  <a:srgbClr val="006600"/>
                </a:solidFill>
                <a:effectLst/>
                <a:uLnTx/>
                <a:uFillTx/>
                <a:latin typeface="Calibri"/>
                <a:ea typeface="+mn-ea"/>
                <a:cs typeface="+mn-cs"/>
              </a:rPr>
              <a:t>UNIVERSIDAD DEL QUINDIO</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0" i="0" u="none" strike="noStrike" kern="0" cap="none" spc="0" normalizeH="0" baseline="0" noProof="0">
                <a:ln>
                  <a:noFill/>
                </a:ln>
                <a:solidFill>
                  <a:srgbClr val="006600"/>
                </a:solidFill>
                <a:effectLst/>
                <a:uLnTx/>
                <a:uFillTx/>
                <a:latin typeface="Calibri"/>
                <a:ea typeface="+mn-ea"/>
                <a:cs typeface="+mn-cs"/>
              </a:rPr>
              <a:t>Oficina de Asuntos Profesorales</a:t>
            </a:r>
          </a:p>
        </xdr:txBody>
      </xdr:sp>
      <xdr:pic>
        <xdr:nvPicPr>
          <xdr:cNvPr id="5" name="Picture 1" descr="logo de la universidad del quindio">
            <a:extLst>
              <a:ext uri="{FF2B5EF4-FFF2-40B4-BE49-F238E27FC236}">
                <a16:creationId xmlns:a16="http://schemas.microsoft.com/office/drawing/2014/main" id="{23EF9B04-9D13-48EB-B69D-B8D67D6D1C97}"/>
              </a:ext>
            </a:extLst>
          </xdr:cNvPr>
          <xdr:cNvPicPr>
            <a:picLocks noChangeAspect="1" noChangeArrowheads="1"/>
          </xdr:cNvPicPr>
        </xdr:nvPicPr>
        <xdr:blipFill>
          <a:blip xmlns:r="http://schemas.openxmlformats.org/officeDocument/2006/relationships" r:embed="rId2" cstate="print">
            <a:lum bright="-30000"/>
          </a:blip>
          <a:srcRect/>
          <a:stretch>
            <a:fillRect/>
          </a:stretch>
        </xdr:blipFill>
        <xdr:spPr bwMode="auto">
          <a:xfrm>
            <a:off x="2907038" y="10105151"/>
            <a:ext cx="464446" cy="537663"/>
          </a:xfrm>
          <a:prstGeom prst="rect">
            <a:avLst/>
          </a:prstGeom>
          <a:ln>
            <a:noFill/>
          </a:ln>
          <a:effectLst>
            <a:outerShdw blurRad="292100" dist="50800" dir="2700000" sx="97000" sy="97000" algn="tl" rotWithShape="0">
              <a:srgbClr val="333333">
                <a:alpha val="5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 name="5 CuadroTexto">
            <a:extLst>
              <a:ext uri="{FF2B5EF4-FFF2-40B4-BE49-F238E27FC236}">
                <a16:creationId xmlns:a16="http://schemas.microsoft.com/office/drawing/2014/main" id="{E3B7B179-6FD1-413D-A033-3131281F59E9}"/>
              </a:ext>
            </a:extLst>
          </xdr:cNvPr>
          <xdr:cNvSpPr txBox="1"/>
        </xdr:nvSpPr>
        <xdr:spPr bwMode="auto">
          <a:xfrm>
            <a:off x="5771371" y="10093766"/>
            <a:ext cx="3390929" cy="598504"/>
          </a:xfrm>
          <a:prstGeom prst="rect">
            <a:avLst/>
          </a:prstGeom>
          <a:solidFill>
            <a:sysClr val="window" lastClr="FFFFFF">
              <a:alpha val="80000"/>
            </a:sys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Base de Datos Cod: DOC_02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(PRODUCTIVIDAD PRODUCCIÓN AUDIOVISUAL)</a:t>
            </a:r>
          </a:p>
        </xdr:txBody>
      </xdr:sp>
      <xdr:grpSp>
        <xdr:nvGrpSpPr>
          <xdr:cNvPr id="7" name="27 Grupo">
            <a:extLst>
              <a:ext uri="{FF2B5EF4-FFF2-40B4-BE49-F238E27FC236}">
                <a16:creationId xmlns:a16="http://schemas.microsoft.com/office/drawing/2014/main" id="{1E3E0758-00BF-4F18-9644-71628D577E4E}"/>
              </a:ext>
            </a:extLst>
          </xdr:cNvPr>
          <xdr:cNvGrpSpPr>
            <a:grpSpLocks/>
          </xdr:cNvGrpSpPr>
        </xdr:nvGrpSpPr>
        <xdr:grpSpPr bwMode="auto">
          <a:xfrm>
            <a:off x="3826429" y="10168218"/>
            <a:ext cx="962406" cy="590550"/>
            <a:chOff x="1991021" y="2705056"/>
            <a:chExt cx="1500859" cy="972913"/>
          </a:xfrm>
        </xdr:grpSpPr>
        <xdr:pic>
          <xdr:nvPicPr>
            <xdr:cNvPr id="8" name="Picture 1" descr="logo de la universidad del quindio">
              <a:extLst>
                <a:ext uri="{FF2B5EF4-FFF2-40B4-BE49-F238E27FC236}">
                  <a16:creationId xmlns:a16="http://schemas.microsoft.com/office/drawing/2014/main" id="{B0ECE4F0-15BD-439B-BF3D-F331070A5F95}"/>
                </a:ext>
              </a:extLst>
            </xdr:cNvPr>
            <xdr:cNvPicPr>
              <a:picLocks noChangeAspect="1" noChangeArrowheads="1"/>
            </xdr:cNvPicPr>
          </xdr:nvPicPr>
          <xdr:blipFill rotWithShape="1">
            <a:blip xmlns:r="http://schemas.openxmlformats.org/officeDocument/2006/relationships" r:embed="rId3"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991021" y="2705056"/>
              <a:ext cx="407588" cy="3524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1" descr="logo de la universidad del quindio">
              <a:extLst>
                <a:ext uri="{FF2B5EF4-FFF2-40B4-BE49-F238E27FC236}">
                  <a16:creationId xmlns:a16="http://schemas.microsoft.com/office/drawing/2014/main" id="{C2D50E72-C075-4994-9818-313E11535AB8}"/>
                </a:ext>
              </a:extLst>
            </xdr:cNvPr>
            <xdr:cNvPicPr>
              <a:picLocks noChangeAspect="1" noChangeArrowheads="1"/>
            </xdr:cNvPicPr>
          </xdr:nvPicPr>
          <xdr:blipFill rotWithShape="1">
            <a:blip xmlns:r="http://schemas.openxmlformats.org/officeDocument/2006/relationships" r:embed="rId4"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484039" y="2899048"/>
              <a:ext cx="275320"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1" descr="logo de la universidad del quindio">
              <a:extLst>
                <a:ext uri="{FF2B5EF4-FFF2-40B4-BE49-F238E27FC236}">
                  <a16:creationId xmlns:a16="http://schemas.microsoft.com/office/drawing/2014/main" id="{22313B6E-3EFD-46AD-927F-DB145A8BF6D4}"/>
                </a:ext>
              </a:extLst>
            </xdr:cNvPr>
            <xdr:cNvPicPr>
              <a:picLocks noChangeAspect="1" noChangeArrowheads="1"/>
            </xdr:cNvPicPr>
          </xdr:nvPicPr>
          <xdr:blipFill rotWithShape="1">
            <a:blip xmlns:r="http://schemas.openxmlformats.org/officeDocument/2006/relationships" r:embed="rId5"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145307" y="3511146"/>
              <a:ext cx="192936" cy="16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1" descr="logo de la universidad del quindio">
              <a:extLst>
                <a:ext uri="{FF2B5EF4-FFF2-40B4-BE49-F238E27FC236}">
                  <a16:creationId xmlns:a16="http://schemas.microsoft.com/office/drawing/2014/main" id="{99013DED-7810-4D3D-941A-EEEF48D50142}"/>
                </a:ext>
              </a:extLst>
            </xdr:cNvPr>
            <xdr:cNvPicPr>
              <a:picLocks noChangeAspect="1" noChangeArrowheads="1"/>
            </xdr:cNvPicPr>
          </xdr:nvPicPr>
          <xdr:blipFill rotWithShape="1">
            <a:blip xmlns:r="http://schemas.openxmlformats.org/officeDocument/2006/relationships" r:embed="rId6"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627784" y="3175177"/>
              <a:ext cx="153371" cy="132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Picture 1" descr="logo de la universidad del quindio">
              <a:extLst>
                <a:ext uri="{FF2B5EF4-FFF2-40B4-BE49-F238E27FC236}">
                  <a16:creationId xmlns:a16="http://schemas.microsoft.com/office/drawing/2014/main" id="{D9FBE51F-00F1-451B-B109-077795AF2F19}"/>
                </a:ext>
              </a:extLst>
            </xdr:cNvPr>
            <xdr:cNvPicPr>
              <a:picLocks noChangeAspect="1" noChangeArrowheads="1"/>
            </xdr:cNvPicPr>
          </xdr:nvPicPr>
          <xdr:blipFill rotWithShape="1">
            <a:blip xmlns:r="http://schemas.openxmlformats.org/officeDocument/2006/relationships" r:embed="rId7"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195737" y="3141742"/>
              <a:ext cx="275319"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1" descr="logo de la universidad del quindio">
              <a:extLst>
                <a:ext uri="{FF2B5EF4-FFF2-40B4-BE49-F238E27FC236}">
                  <a16:creationId xmlns:a16="http://schemas.microsoft.com/office/drawing/2014/main" id="{95D03D99-46D8-4E18-B90D-67319D97969D}"/>
                </a:ext>
              </a:extLst>
            </xdr:cNvPr>
            <xdr:cNvPicPr>
              <a:picLocks noChangeAspect="1" noChangeArrowheads="1"/>
            </xdr:cNvPicPr>
          </xdr:nvPicPr>
          <xdr:blipFill rotWithShape="1">
            <a:blip xmlns:r="http://schemas.openxmlformats.org/officeDocument/2006/relationships" r:embed="rId8"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88957" y="2722391"/>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 name="Picture 1" descr="logo de la universidad del quindio">
              <a:extLst>
                <a:ext uri="{FF2B5EF4-FFF2-40B4-BE49-F238E27FC236}">
                  <a16:creationId xmlns:a16="http://schemas.microsoft.com/office/drawing/2014/main" id="{042269D2-9692-4E0F-94F1-E6521F7B1643}"/>
                </a:ext>
              </a:extLst>
            </xdr:cNvPr>
            <xdr:cNvPicPr>
              <a:picLocks noChangeAspect="1" noChangeArrowheads="1"/>
            </xdr:cNvPicPr>
          </xdr:nvPicPr>
          <xdr:blipFill rotWithShape="1">
            <a:blip xmlns:r="http://schemas.openxmlformats.org/officeDocument/2006/relationships" r:embed="rId9"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483768" y="3368159"/>
              <a:ext cx="180020" cy="155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Picture 1" descr="logo de la universidad del quindio">
              <a:extLst>
                <a:ext uri="{FF2B5EF4-FFF2-40B4-BE49-F238E27FC236}">
                  <a16:creationId xmlns:a16="http://schemas.microsoft.com/office/drawing/2014/main" id="{6315070F-51A1-444E-A53C-BB1F145B06D1}"/>
                </a:ext>
              </a:extLst>
            </xdr:cNvPr>
            <xdr:cNvPicPr>
              <a:picLocks noChangeAspect="1" noChangeArrowheads="1"/>
            </xdr:cNvPicPr>
          </xdr:nvPicPr>
          <xdr:blipFill rotWithShape="1">
            <a:blip xmlns:r="http://schemas.openxmlformats.org/officeDocument/2006/relationships" r:embed="rId8"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15815" y="2998422"/>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1" descr="logo de la universidad del quindio">
              <a:extLst>
                <a:ext uri="{FF2B5EF4-FFF2-40B4-BE49-F238E27FC236}">
                  <a16:creationId xmlns:a16="http://schemas.microsoft.com/office/drawing/2014/main" id="{ABD4387C-D70D-4788-A3AD-1FE017712D7B}"/>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544505" y="2731726"/>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7" name="Picture 1" descr="logo de la universidad del quindio">
              <a:extLst>
                <a:ext uri="{FF2B5EF4-FFF2-40B4-BE49-F238E27FC236}">
                  <a16:creationId xmlns:a16="http://schemas.microsoft.com/office/drawing/2014/main" id="{DA092D95-F4BF-4AEF-9FE9-971C200A7685}"/>
                </a:ext>
              </a:extLst>
            </xdr:cNvPr>
            <xdr:cNvPicPr>
              <a:picLocks noChangeAspect="1" noChangeArrowheads="1"/>
            </xdr:cNvPicPr>
          </xdr:nvPicPr>
          <xdr:blipFill rotWithShape="1">
            <a:blip xmlns:r="http://schemas.openxmlformats.org/officeDocument/2006/relationships" r:embed="rId8"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771800" y="2783681"/>
              <a:ext cx="140183" cy="12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8" name="Picture 1" descr="logo de la universidad del quindio">
              <a:extLst>
                <a:ext uri="{FF2B5EF4-FFF2-40B4-BE49-F238E27FC236}">
                  <a16:creationId xmlns:a16="http://schemas.microsoft.com/office/drawing/2014/main" id="{EE092AE1-8BBF-4033-B5C7-0AC5368B3E2E}"/>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3132217" y="2892410"/>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 name="Picture 1" descr="logo de la universidad del quindio">
              <a:extLst>
                <a:ext uri="{FF2B5EF4-FFF2-40B4-BE49-F238E27FC236}">
                  <a16:creationId xmlns:a16="http://schemas.microsoft.com/office/drawing/2014/main" id="{DB72CF2B-F238-4778-B922-4463EF493C5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b="22568"/>
            <a:stretch>
              <a:fillRect/>
            </a:stretch>
          </xdr:blipFill>
          <xdr:spPr bwMode="auto">
            <a:xfrm>
              <a:off x="3408601" y="2876939"/>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19050</xdr:rowOff>
    </xdr:from>
    <xdr:ext cx="17773650" cy="992981"/>
    <xdr:grpSp>
      <xdr:nvGrpSpPr>
        <xdr:cNvPr id="2" name="Shape 2">
          <a:extLst>
            <a:ext uri="{FF2B5EF4-FFF2-40B4-BE49-F238E27FC236}">
              <a16:creationId xmlns:a16="http://schemas.microsoft.com/office/drawing/2014/main" id="{187817BB-C2C5-4D4F-B4B3-2BACEB6357E6}"/>
            </a:ext>
          </a:extLst>
        </xdr:cNvPr>
        <xdr:cNvGrpSpPr/>
      </xdr:nvGrpSpPr>
      <xdr:grpSpPr>
        <a:xfrm>
          <a:off x="0" y="19050"/>
          <a:ext cx="17773650" cy="992981"/>
          <a:chOff x="0" y="3256125"/>
          <a:chExt cx="10692000" cy="1047750"/>
        </a:xfrm>
      </xdr:grpSpPr>
      <xdr:grpSp>
        <xdr:nvGrpSpPr>
          <xdr:cNvPr id="3" name="Shape 68">
            <a:extLst>
              <a:ext uri="{FF2B5EF4-FFF2-40B4-BE49-F238E27FC236}">
                <a16:creationId xmlns:a16="http://schemas.microsoft.com/office/drawing/2014/main" id="{BAE14D67-D6E5-4F0E-9E56-2DDF57B97C82}"/>
              </a:ext>
            </a:extLst>
          </xdr:cNvPr>
          <xdr:cNvGrpSpPr/>
        </xdr:nvGrpSpPr>
        <xdr:grpSpPr>
          <a:xfrm>
            <a:off x="0" y="3256125"/>
            <a:ext cx="10692000" cy="1047750"/>
            <a:chOff x="0" y="3256125"/>
            <a:chExt cx="10692000" cy="1047750"/>
          </a:xfrm>
        </xdr:grpSpPr>
        <xdr:sp macro="" textlink="">
          <xdr:nvSpPr>
            <xdr:cNvPr id="4" name="Shape 4">
              <a:extLst>
                <a:ext uri="{FF2B5EF4-FFF2-40B4-BE49-F238E27FC236}">
                  <a16:creationId xmlns:a16="http://schemas.microsoft.com/office/drawing/2014/main" id="{C3A45D1D-BDC5-4E72-A967-16CB6A5A5C9D}"/>
                </a:ext>
              </a:extLst>
            </xdr:cNvPr>
            <xdr:cNvSpPr/>
          </xdr:nvSpPr>
          <xdr:spPr>
            <a:xfrm>
              <a:off x="0" y="3256125"/>
              <a:ext cx="10692000" cy="1047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69">
              <a:extLst>
                <a:ext uri="{FF2B5EF4-FFF2-40B4-BE49-F238E27FC236}">
                  <a16:creationId xmlns:a16="http://schemas.microsoft.com/office/drawing/2014/main" id="{E9FA3CA6-7C72-49CC-9352-51FACAA367F5}"/>
                </a:ext>
              </a:extLst>
            </xdr:cNvPr>
            <xdr:cNvGrpSpPr/>
          </xdr:nvGrpSpPr>
          <xdr:grpSpPr>
            <a:xfrm>
              <a:off x="0" y="3256129"/>
              <a:ext cx="10692000" cy="1047745"/>
              <a:chOff x="2758685" y="9960764"/>
              <a:chExt cx="9313730" cy="798000"/>
            </a:xfrm>
          </xdr:grpSpPr>
          <xdr:sp macro="" textlink="">
            <xdr:nvSpPr>
              <xdr:cNvPr id="6" name="Shape 70">
                <a:extLst>
                  <a:ext uri="{FF2B5EF4-FFF2-40B4-BE49-F238E27FC236}">
                    <a16:creationId xmlns:a16="http://schemas.microsoft.com/office/drawing/2014/main" id="{D0AE5EC8-12EC-4AA3-B7B7-A02B4B68EFCB}"/>
                  </a:ext>
                </a:extLst>
              </xdr:cNvPr>
              <xdr:cNvSpPr/>
            </xdr:nvSpPr>
            <xdr:spPr>
              <a:xfrm>
                <a:off x="2758685" y="9960764"/>
                <a:ext cx="9313725" cy="798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7" name="Shape 71">
                <a:extLst>
                  <a:ext uri="{FF2B5EF4-FFF2-40B4-BE49-F238E27FC236}">
                    <a16:creationId xmlns:a16="http://schemas.microsoft.com/office/drawing/2014/main" id="{B0D62449-C305-4250-9243-76759ABFE329}"/>
                  </a:ext>
                </a:extLst>
              </xdr:cNvPr>
              <xdr:cNvPicPr preferRelativeResize="0"/>
            </xdr:nvPicPr>
            <xdr:blipFill rotWithShape="1">
              <a:blip xmlns:r="http://schemas.openxmlformats.org/officeDocument/2006/relationships" r:embed="rId1">
                <a:alphaModFix/>
              </a:blip>
              <a:srcRect l="24940" t="25335" r="15240" b="14765"/>
              <a:stretch/>
            </xdr:blipFill>
            <xdr:spPr>
              <a:xfrm>
                <a:off x="2758685" y="9998515"/>
                <a:ext cx="9310047" cy="627252"/>
              </a:xfrm>
              <a:prstGeom prst="rect">
                <a:avLst/>
              </a:prstGeom>
              <a:noFill/>
              <a:ln>
                <a:noFill/>
              </a:ln>
            </xdr:spPr>
          </xdr:pic>
          <xdr:sp macro="" textlink="">
            <xdr:nvSpPr>
              <xdr:cNvPr id="8" name="Shape 72">
                <a:extLst>
                  <a:ext uri="{FF2B5EF4-FFF2-40B4-BE49-F238E27FC236}">
                    <a16:creationId xmlns:a16="http://schemas.microsoft.com/office/drawing/2014/main" id="{AF1A75CB-F92F-450A-8C47-037BEE305093}"/>
                  </a:ext>
                </a:extLst>
              </xdr:cNvPr>
              <xdr:cNvSpPr txBox="1"/>
            </xdr:nvSpPr>
            <xdr:spPr>
              <a:xfrm>
                <a:off x="9393247" y="9960764"/>
                <a:ext cx="2679168" cy="695399"/>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rgbClr val="006600"/>
                  </a:buClr>
                  <a:buSzPts val="1600"/>
                  <a:buFont typeface="Calibri"/>
                  <a:buNone/>
                </a:pPr>
                <a:r>
                  <a:rPr lang="en-US" sz="1600" b="1" i="0" u="none" strike="noStrike" cap="none">
                    <a:solidFill>
                      <a:srgbClr val="006600"/>
                    </a:solidFill>
                    <a:latin typeface="Calibri"/>
                    <a:ea typeface="Calibri"/>
                    <a:cs typeface="Calibri"/>
                    <a:sym typeface="Calibri"/>
                  </a:rPr>
                  <a:t>UNIVERSIDAD DEL QUINDIO</a:t>
                </a:r>
                <a:endParaRPr sz="1400"/>
              </a:p>
              <a:p>
                <a:pPr marL="0" marR="0" lvl="0" indent="0" algn="ctr" rtl="0">
                  <a:lnSpc>
                    <a:spcPct val="100000"/>
                  </a:lnSpc>
                  <a:spcBef>
                    <a:spcPts val="0"/>
                  </a:spcBef>
                  <a:spcAft>
                    <a:spcPts val="0"/>
                  </a:spcAft>
                  <a:buClr>
                    <a:srgbClr val="006600"/>
                  </a:buClr>
                  <a:buSzPts val="1100"/>
                  <a:buFont typeface="Calibri"/>
                  <a:buNone/>
                </a:pPr>
                <a:r>
                  <a:rPr lang="es-CO" sz="1100" b="0" i="0" u="none" strike="noStrike" cap="none">
                    <a:solidFill>
                      <a:srgbClr val="006600"/>
                    </a:solidFill>
                    <a:latin typeface="Calibri"/>
                    <a:ea typeface="Calibri"/>
                    <a:cs typeface="Calibri"/>
                    <a:sym typeface="Calibri"/>
                  </a:rPr>
                  <a:t>Oficina de Asuntos Profesorales</a:t>
                </a:r>
                <a:endParaRPr sz="1400"/>
              </a:p>
            </xdr:txBody>
          </xdr:sp>
          <xdr:pic>
            <xdr:nvPicPr>
              <xdr:cNvPr id="9" name="Shape 73" descr="logo de la universidad del quindio">
                <a:extLst>
                  <a:ext uri="{FF2B5EF4-FFF2-40B4-BE49-F238E27FC236}">
                    <a16:creationId xmlns:a16="http://schemas.microsoft.com/office/drawing/2014/main" id="{52B24308-85D5-4128-8027-59D8145A97BF}"/>
                  </a:ext>
                </a:extLst>
              </xdr:cNvPr>
              <xdr:cNvPicPr preferRelativeResize="0"/>
            </xdr:nvPicPr>
            <xdr:blipFill rotWithShape="1">
              <a:blip xmlns:r="http://schemas.openxmlformats.org/officeDocument/2006/relationships" r:embed="rId2">
                <a:alphaModFix/>
              </a:blip>
              <a:srcRect/>
              <a:stretch/>
            </xdr:blipFill>
            <xdr:spPr>
              <a:xfrm>
                <a:off x="2907038" y="10105151"/>
                <a:ext cx="464446" cy="537663"/>
              </a:xfrm>
              <a:prstGeom prst="rect">
                <a:avLst/>
              </a:prstGeom>
              <a:noFill/>
              <a:ln>
                <a:noFill/>
              </a:ln>
              <a:effectLst>
                <a:outerShdw blurRad="292100" dist="50800" dir="2700000" sx="97000" sy="97000" algn="tl" rotWithShape="0">
                  <a:srgbClr val="333333">
                    <a:alpha val="49411"/>
                  </a:srgbClr>
                </a:outerShdw>
              </a:effectLst>
            </xdr:spPr>
          </xdr:pic>
          <xdr:sp macro="" textlink="">
            <xdr:nvSpPr>
              <xdr:cNvPr id="10" name="Shape 74">
                <a:extLst>
                  <a:ext uri="{FF2B5EF4-FFF2-40B4-BE49-F238E27FC236}">
                    <a16:creationId xmlns:a16="http://schemas.microsoft.com/office/drawing/2014/main" id="{C0850A97-698B-4AFA-8B35-6B275D270C9E}"/>
                  </a:ext>
                </a:extLst>
              </xdr:cNvPr>
              <xdr:cNvSpPr txBox="1"/>
            </xdr:nvSpPr>
            <xdr:spPr>
              <a:xfrm>
                <a:off x="5332600" y="10058297"/>
                <a:ext cx="3390929" cy="540870"/>
              </a:xfrm>
              <a:prstGeom prst="rect">
                <a:avLst/>
              </a:prstGeom>
              <a:solidFill>
                <a:schemeClr val="bg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rgbClr val="006600"/>
                  </a:buClr>
                  <a:buSzPts val="1000"/>
                  <a:buFont typeface="Calibri"/>
                  <a:buNone/>
                </a:pPr>
                <a:r>
                  <a:rPr lang="en-US" sz="1200" b="1" i="0" u="none" strike="noStrike" cap="none">
                    <a:solidFill>
                      <a:srgbClr val="006600"/>
                    </a:solidFill>
                    <a:latin typeface="Calibri"/>
                    <a:ea typeface="Calibri"/>
                    <a:cs typeface="Calibri"/>
                    <a:sym typeface="Calibri"/>
                  </a:rPr>
                  <a:t>Base de Datos Cod: DOC_02</a:t>
                </a:r>
                <a:endParaRPr sz="1200"/>
              </a:p>
              <a:p>
                <a:pPr marL="0" marR="0" lvl="0" indent="0" algn="ctr" rtl="0">
                  <a:lnSpc>
                    <a:spcPct val="100000"/>
                  </a:lnSpc>
                  <a:spcBef>
                    <a:spcPts val="0"/>
                  </a:spcBef>
                  <a:spcAft>
                    <a:spcPts val="0"/>
                  </a:spcAft>
                  <a:buClr>
                    <a:srgbClr val="006600"/>
                  </a:buClr>
                  <a:buSzPts val="1000"/>
                  <a:buFont typeface="Calibri"/>
                  <a:buNone/>
                </a:pPr>
                <a:r>
                  <a:rPr lang="en-US" sz="1200" b="1" i="0" u="none" strike="noStrike" cap="none">
                    <a:solidFill>
                      <a:srgbClr val="006600"/>
                    </a:solidFill>
                    <a:latin typeface="Calibri"/>
                    <a:ea typeface="Calibri"/>
                    <a:cs typeface="Calibri"/>
                    <a:sym typeface="Calibri"/>
                  </a:rPr>
                  <a:t>(PRODUCTIVIDAD LIBROS PRODUCTO DE INVESTIGACIÓN)</a:t>
                </a:r>
              </a:p>
              <a:p>
                <a:pPr marL="0" marR="0" lvl="0" indent="0" algn="ctr" defTabSz="914400" rtl="0" eaLnBrk="1" fontAlgn="auto" latinLnBrk="0" hangingPunct="1">
                  <a:lnSpc>
                    <a:spcPct val="100000"/>
                  </a:lnSpc>
                  <a:spcBef>
                    <a:spcPts val="0"/>
                  </a:spcBef>
                  <a:spcAft>
                    <a:spcPts val="0"/>
                  </a:spcAft>
                  <a:buClr>
                    <a:srgbClr val="006600"/>
                  </a:buClr>
                  <a:buSzPts val="1000"/>
                  <a:buFont typeface="Calibri"/>
                  <a:buNone/>
                  <a:tabLst/>
                  <a:defRPr/>
                </a:pPr>
                <a:r>
                  <a:rPr lang="es-CO" sz="1200" b="1" i="0" u="none" strike="noStrike" cap="none">
                    <a:solidFill>
                      <a:srgbClr val="006600"/>
                    </a:solidFill>
                    <a:latin typeface="Calibri"/>
                    <a:ea typeface="Calibri"/>
                    <a:cs typeface="Calibri"/>
                  </a:rPr>
                  <a:t>Cuadro No.2</a:t>
                </a:r>
                <a:endParaRPr sz="1200"/>
              </a:p>
            </xdr:txBody>
          </xdr:sp>
          <xdr:grpSp>
            <xdr:nvGrpSpPr>
              <xdr:cNvPr id="11" name="Shape 75">
                <a:extLst>
                  <a:ext uri="{FF2B5EF4-FFF2-40B4-BE49-F238E27FC236}">
                    <a16:creationId xmlns:a16="http://schemas.microsoft.com/office/drawing/2014/main" id="{62443E3D-EB9E-4FC5-8396-839FBF1F0B19}"/>
                  </a:ext>
                </a:extLst>
              </xdr:cNvPr>
              <xdr:cNvGrpSpPr/>
            </xdr:nvGrpSpPr>
            <xdr:grpSpPr>
              <a:xfrm>
                <a:off x="3761141" y="10168217"/>
                <a:ext cx="1027694" cy="496979"/>
                <a:chOff x="1889205" y="2705056"/>
                <a:chExt cx="1602675" cy="818758"/>
              </a:xfrm>
            </xdr:grpSpPr>
            <xdr:pic>
              <xdr:nvPicPr>
                <xdr:cNvPr id="12" name="Shape 76" descr="logo de la universidad del quindio">
                  <a:extLst>
                    <a:ext uri="{FF2B5EF4-FFF2-40B4-BE49-F238E27FC236}">
                      <a16:creationId xmlns:a16="http://schemas.microsoft.com/office/drawing/2014/main" id="{4D21B573-15A5-4519-B5EA-0E733F6A3BEB}"/>
                    </a:ext>
                  </a:extLst>
                </xdr:cNvPr>
                <xdr:cNvPicPr preferRelativeResize="0"/>
              </xdr:nvPicPr>
              <xdr:blipFill rotWithShape="1">
                <a:blip xmlns:r="http://schemas.openxmlformats.org/officeDocument/2006/relationships" r:embed="rId3">
                  <a:alphaModFix/>
                </a:blip>
                <a:srcRect b="22568"/>
                <a:stretch/>
              </xdr:blipFill>
              <xdr:spPr>
                <a:xfrm>
                  <a:off x="1991021" y="2705056"/>
                  <a:ext cx="407588" cy="352423"/>
                </a:xfrm>
                <a:prstGeom prst="rect">
                  <a:avLst/>
                </a:prstGeom>
                <a:noFill/>
                <a:ln>
                  <a:noFill/>
                </a:ln>
              </xdr:spPr>
            </xdr:pic>
            <xdr:pic>
              <xdr:nvPicPr>
                <xdr:cNvPr id="13" name="Shape 77" descr="logo de la universidad del quindio">
                  <a:extLst>
                    <a:ext uri="{FF2B5EF4-FFF2-40B4-BE49-F238E27FC236}">
                      <a16:creationId xmlns:a16="http://schemas.microsoft.com/office/drawing/2014/main" id="{14D9F106-08E5-4AE1-AF44-970D9C7F26E4}"/>
                    </a:ext>
                  </a:extLst>
                </xdr:cNvPr>
                <xdr:cNvPicPr preferRelativeResize="0"/>
              </xdr:nvPicPr>
              <xdr:blipFill rotWithShape="1">
                <a:blip xmlns:r="http://schemas.openxmlformats.org/officeDocument/2006/relationships" r:embed="rId4">
                  <a:alphaModFix/>
                </a:blip>
                <a:srcRect b="22568"/>
                <a:stretch/>
              </xdr:blipFill>
              <xdr:spPr>
                <a:xfrm>
                  <a:off x="2484039" y="2899048"/>
                  <a:ext cx="275320" cy="238056"/>
                </a:xfrm>
                <a:prstGeom prst="rect">
                  <a:avLst/>
                </a:prstGeom>
                <a:noFill/>
                <a:ln>
                  <a:noFill/>
                </a:ln>
              </xdr:spPr>
            </xdr:pic>
            <xdr:pic>
              <xdr:nvPicPr>
                <xdr:cNvPr id="14" name="Shape 78" descr="logo de la universidad del quindio">
                  <a:extLst>
                    <a:ext uri="{FF2B5EF4-FFF2-40B4-BE49-F238E27FC236}">
                      <a16:creationId xmlns:a16="http://schemas.microsoft.com/office/drawing/2014/main" id="{44006897-52F3-49A8-925C-42F9C1BA751C}"/>
                    </a:ext>
                  </a:extLst>
                </xdr:cNvPr>
                <xdr:cNvPicPr preferRelativeResize="0"/>
              </xdr:nvPicPr>
              <xdr:blipFill rotWithShape="1">
                <a:blip xmlns:r="http://schemas.openxmlformats.org/officeDocument/2006/relationships" r:embed="rId5">
                  <a:alphaModFix/>
                </a:blip>
                <a:srcRect b="22568"/>
                <a:stretch/>
              </xdr:blipFill>
              <xdr:spPr>
                <a:xfrm>
                  <a:off x="1889205" y="3189777"/>
                  <a:ext cx="192936" cy="166823"/>
                </a:xfrm>
                <a:prstGeom prst="rect">
                  <a:avLst/>
                </a:prstGeom>
                <a:noFill/>
                <a:ln>
                  <a:noFill/>
                </a:ln>
              </xdr:spPr>
            </xdr:pic>
            <xdr:pic>
              <xdr:nvPicPr>
                <xdr:cNvPr id="15" name="Shape 79" descr="logo de la universidad del quindio">
                  <a:extLst>
                    <a:ext uri="{FF2B5EF4-FFF2-40B4-BE49-F238E27FC236}">
                      <a16:creationId xmlns:a16="http://schemas.microsoft.com/office/drawing/2014/main" id="{2F988E8B-3127-41BD-92B8-E079D44C3096}"/>
                    </a:ext>
                  </a:extLst>
                </xdr:cNvPr>
                <xdr:cNvPicPr preferRelativeResize="0"/>
              </xdr:nvPicPr>
              <xdr:blipFill rotWithShape="1">
                <a:blip xmlns:r="http://schemas.openxmlformats.org/officeDocument/2006/relationships" r:embed="rId6">
                  <a:alphaModFix/>
                </a:blip>
                <a:srcRect b="22568"/>
                <a:stretch/>
              </xdr:blipFill>
              <xdr:spPr>
                <a:xfrm>
                  <a:off x="2627784" y="3175177"/>
                  <a:ext cx="153371" cy="132613"/>
                </a:xfrm>
                <a:prstGeom prst="rect">
                  <a:avLst/>
                </a:prstGeom>
                <a:noFill/>
                <a:ln>
                  <a:noFill/>
                </a:ln>
              </xdr:spPr>
            </xdr:pic>
            <xdr:pic>
              <xdr:nvPicPr>
                <xdr:cNvPr id="16" name="Shape 80" descr="logo de la universidad del quindio">
                  <a:extLst>
                    <a:ext uri="{FF2B5EF4-FFF2-40B4-BE49-F238E27FC236}">
                      <a16:creationId xmlns:a16="http://schemas.microsoft.com/office/drawing/2014/main" id="{2EACC9FD-7D7E-4E17-80E8-9E6560341D2C}"/>
                    </a:ext>
                  </a:extLst>
                </xdr:cNvPr>
                <xdr:cNvPicPr preferRelativeResize="0"/>
              </xdr:nvPicPr>
              <xdr:blipFill rotWithShape="1">
                <a:blip xmlns:r="http://schemas.openxmlformats.org/officeDocument/2006/relationships" r:embed="rId7">
                  <a:alphaModFix/>
                </a:blip>
                <a:srcRect b="22568"/>
                <a:stretch/>
              </xdr:blipFill>
              <xdr:spPr>
                <a:xfrm>
                  <a:off x="2195737" y="3141742"/>
                  <a:ext cx="275319" cy="238056"/>
                </a:xfrm>
                <a:prstGeom prst="rect">
                  <a:avLst/>
                </a:prstGeom>
                <a:noFill/>
                <a:ln>
                  <a:noFill/>
                </a:ln>
              </xdr:spPr>
            </xdr:pic>
            <xdr:pic>
              <xdr:nvPicPr>
                <xdr:cNvPr id="17" name="Shape 81" descr="logo de la universidad del quindio">
                  <a:extLst>
                    <a:ext uri="{FF2B5EF4-FFF2-40B4-BE49-F238E27FC236}">
                      <a16:creationId xmlns:a16="http://schemas.microsoft.com/office/drawing/2014/main" id="{2B844470-E569-43CB-A4AB-55CAC3AF3451}"/>
                    </a:ext>
                  </a:extLst>
                </xdr:cNvPr>
                <xdr:cNvPicPr preferRelativeResize="0"/>
              </xdr:nvPicPr>
              <xdr:blipFill rotWithShape="1">
                <a:blip xmlns:r="http://schemas.openxmlformats.org/officeDocument/2006/relationships" r:embed="rId8">
                  <a:alphaModFix/>
                </a:blip>
                <a:srcRect b="22568"/>
                <a:stretch/>
              </xdr:blipFill>
              <xdr:spPr>
                <a:xfrm>
                  <a:off x="2988957" y="2722391"/>
                  <a:ext cx="140183" cy="121211"/>
                </a:xfrm>
                <a:prstGeom prst="rect">
                  <a:avLst/>
                </a:prstGeom>
                <a:noFill/>
                <a:ln>
                  <a:noFill/>
                </a:ln>
              </xdr:spPr>
            </xdr:pic>
            <xdr:pic>
              <xdr:nvPicPr>
                <xdr:cNvPr id="18" name="Shape 82" descr="logo de la universidad del quindio">
                  <a:extLst>
                    <a:ext uri="{FF2B5EF4-FFF2-40B4-BE49-F238E27FC236}">
                      <a16:creationId xmlns:a16="http://schemas.microsoft.com/office/drawing/2014/main" id="{931A0440-7E6F-4274-846C-2C2E28D218BA}"/>
                    </a:ext>
                  </a:extLst>
                </xdr:cNvPr>
                <xdr:cNvPicPr preferRelativeResize="0"/>
              </xdr:nvPicPr>
              <xdr:blipFill rotWithShape="1">
                <a:blip xmlns:r="http://schemas.openxmlformats.org/officeDocument/2006/relationships" r:embed="rId9">
                  <a:alphaModFix/>
                </a:blip>
                <a:srcRect b="22568"/>
                <a:stretch/>
              </xdr:blipFill>
              <xdr:spPr>
                <a:xfrm>
                  <a:off x="2483768" y="3368159"/>
                  <a:ext cx="180020" cy="155655"/>
                </a:xfrm>
                <a:prstGeom prst="rect">
                  <a:avLst/>
                </a:prstGeom>
                <a:noFill/>
                <a:ln>
                  <a:noFill/>
                </a:ln>
              </xdr:spPr>
            </xdr:pic>
            <xdr:pic>
              <xdr:nvPicPr>
                <xdr:cNvPr id="19" name="Shape 83" descr="logo de la universidad del quindio">
                  <a:extLst>
                    <a:ext uri="{FF2B5EF4-FFF2-40B4-BE49-F238E27FC236}">
                      <a16:creationId xmlns:a16="http://schemas.microsoft.com/office/drawing/2014/main" id="{22AB6887-860B-41F3-961F-EB57BF68A320}"/>
                    </a:ext>
                  </a:extLst>
                </xdr:cNvPr>
                <xdr:cNvPicPr preferRelativeResize="0"/>
              </xdr:nvPicPr>
              <xdr:blipFill rotWithShape="1">
                <a:blip xmlns:r="http://schemas.openxmlformats.org/officeDocument/2006/relationships" r:embed="rId10">
                  <a:alphaModFix/>
                </a:blip>
                <a:srcRect b="22568"/>
                <a:stretch/>
              </xdr:blipFill>
              <xdr:spPr>
                <a:xfrm>
                  <a:off x="2915815" y="2998422"/>
                  <a:ext cx="140183" cy="121211"/>
                </a:xfrm>
                <a:prstGeom prst="rect">
                  <a:avLst/>
                </a:prstGeom>
                <a:noFill/>
                <a:ln>
                  <a:noFill/>
                </a:ln>
              </xdr:spPr>
            </xdr:pic>
            <xdr:pic>
              <xdr:nvPicPr>
                <xdr:cNvPr id="20" name="Shape 84" descr="logo de la universidad del quindio">
                  <a:extLst>
                    <a:ext uri="{FF2B5EF4-FFF2-40B4-BE49-F238E27FC236}">
                      <a16:creationId xmlns:a16="http://schemas.microsoft.com/office/drawing/2014/main" id="{CFDFBC7A-9112-4D03-9AB6-06A3275DA7C2}"/>
                    </a:ext>
                  </a:extLst>
                </xdr:cNvPr>
                <xdr:cNvPicPr preferRelativeResize="0"/>
              </xdr:nvPicPr>
              <xdr:blipFill rotWithShape="1">
                <a:blip xmlns:r="http://schemas.openxmlformats.org/officeDocument/2006/relationships" r:embed="rId11">
                  <a:alphaModFix/>
                </a:blip>
                <a:srcRect b="22568"/>
                <a:stretch/>
              </xdr:blipFill>
              <xdr:spPr>
                <a:xfrm>
                  <a:off x="2544505" y="2731726"/>
                  <a:ext cx="83279" cy="72008"/>
                </a:xfrm>
                <a:prstGeom prst="rect">
                  <a:avLst/>
                </a:prstGeom>
                <a:noFill/>
                <a:ln>
                  <a:noFill/>
                </a:ln>
              </xdr:spPr>
            </xdr:pic>
            <xdr:pic>
              <xdr:nvPicPr>
                <xdr:cNvPr id="21" name="Shape 85" descr="logo de la universidad del quindio">
                  <a:extLst>
                    <a:ext uri="{FF2B5EF4-FFF2-40B4-BE49-F238E27FC236}">
                      <a16:creationId xmlns:a16="http://schemas.microsoft.com/office/drawing/2014/main" id="{A8E5D05A-C634-4047-A1C2-3E9018503944}"/>
                    </a:ext>
                  </a:extLst>
                </xdr:cNvPr>
                <xdr:cNvPicPr preferRelativeResize="0"/>
              </xdr:nvPicPr>
              <xdr:blipFill rotWithShape="1">
                <a:blip xmlns:r="http://schemas.openxmlformats.org/officeDocument/2006/relationships" r:embed="rId12">
                  <a:alphaModFix/>
                </a:blip>
                <a:srcRect b="22568"/>
                <a:stretch/>
              </xdr:blipFill>
              <xdr:spPr>
                <a:xfrm>
                  <a:off x="2771800" y="2783681"/>
                  <a:ext cx="140183" cy="121210"/>
                </a:xfrm>
                <a:prstGeom prst="rect">
                  <a:avLst/>
                </a:prstGeom>
                <a:noFill/>
                <a:ln>
                  <a:noFill/>
                </a:ln>
              </xdr:spPr>
            </xdr:pic>
            <xdr:pic>
              <xdr:nvPicPr>
                <xdr:cNvPr id="22" name="Shape 86" descr="logo de la universidad del quindio">
                  <a:extLst>
                    <a:ext uri="{FF2B5EF4-FFF2-40B4-BE49-F238E27FC236}">
                      <a16:creationId xmlns:a16="http://schemas.microsoft.com/office/drawing/2014/main" id="{366E3669-F164-495E-A02A-FABC7C56E084}"/>
                    </a:ext>
                  </a:extLst>
                </xdr:cNvPr>
                <xdr:cNvPicPr preferRelativeResize="0"/>
              </xdr:nvPicPr>
              <xdr:blipFill rotWithShape="1">
                <a:blip xmlns:r="http://schemas.openxmlformats.org/officeDocument/2006/relationships" r:embed="rId11">
                  <a:alphaModFix/>
                </a:blip>
                <a:srcRect b="22568"/>
                <a:stretch/>
              </xdr:blipFill>
              <xdr:spPr>
                <a:xfrm>
                  <a:off x="3132217" y="2892410"/>
                  <a:ext cx="83279" cy="72008"/>
                </a:xfrm>
                <a:prstGeom prst="rect">
                  <a:avLst/>
                </a:prstGeom>
                <a:noFill/>
                <a:ln>
                  <a:noFill/>
                </a:ln>
              </xdr:spPr>
            </xdr:pic>
            <xdr:pic>
              <xdr:nvPicPr>
                <xdr:cNvPr id="23" name="Shape 87" descr="logo de la universidad del quindio">
                  <a:extLst>
                    <a:ext uri="{FF2B5EF4-FFF2-40B4-BE49-F238E27FC236}">
                      <a16:creationId xmlns:a16="http://schemas.microsoft.com/office/drawing/2014/main" id="{061B7185-390F-4D5A-88AF-DF87D8F51C76}"/>
                    </a:ext>
                  </a:extLst>
                </xdr:cNvPr>
                <xdr:cNvPicPr preferRelativeResize="0"/>
              </xdr:nvPicPr>
              <xdr:blipFill rotWithShape="1">
                <a:blip xmlns:r="http://schemas.openxmlformats.org/officeDocument/2006/relationships" r:embed="rId13">
                  <a:alphaModFix/>
                </a:blip>
                <a:srcRect b="22568"/>
                <a:stretch/>
              </xdr:blipFill>
              <xdr:spPr>
                <a:xfrm>
                  <a:off x="3408601" y="2876939"/>
                  <a:ext cx="83279" cy="72008"/>
                </a:xfrm>
                <a:prstGeom prst="rect">
                  <a:avLst/>
                </a:prstGeom>
                <a:noFill/>
                <a:ln>
                  <a:noFill/>
                </a:ln>
              </xdr:spPr>
            </xdr:pic>
          </xdr:grpSp>
        </xdr:grpSp>
      </xdr:grpSp>
    </xdr:grp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74327</xdr:rowOff>
    </xdr:from>
    <xdr:to>
      <xdr:col>18</xdr:col>
      <xdr:colOff>12739</xdr:colOff>
      <xdr:row>1</xdr:row>
      <xdr:rowOff>30956</xdr:rowOff>
    </xdr:to>
    <xdr:grpSp>
      <xdr:nvGrpSpPr>
        <xdr:cNvPr id="20" name="1 Grupo">
          <a:extLst>
            <a:ext uri="{FF2B5EF4-FFF2-40B4-BE49-F238E27FC236}">
              <a16:creationId xmlns:a16="http://schemas.microsoft.com/office/drawing/2014/main" id="{968344EA-56EF-4400-B63B-63FB44F83951}"/>
            </a:ext>
          </a:extLst>
        </xdr:cNvPr>
        <xdr:cNvGrpSpPr/>
      </xdr:nvGrpSpPr>
      <xdr:grpSpPr>
        <a:xfrm>
          <a:off x="38100" y="74327"/>
          <a:ext cx="15995689" cy="871029"/>
          <a:chOff x="2758685" y="9998515"/>
          <a:chExt cx="9310047" cy="760253"/>
        </a:xfrm>
      </xdr:grpSpPr>
      <xdr:pic>
        <xdr:nvPicPr>
          <xdr:cNvPr id="21" name="3 Imagen">
            <a:extLst>
              <a:ext uri="{FF2B5EF4-FFF2-40B4-BE49-F238E27FC236}">
                <a16:creationId xmlns:a16="http://schemas.microsoft.com/office/drawing/2014/main" id="{184154DE-E576-42F3-81B4-3BAB3F49E210}"/>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4940" t="25337" r="15240" b="14766"/>
          <a:stretch>
            <a:fillRect/>
          </a:stretch>
        </xdr:blipFill>
        <xdr:spPr bwMode="auto">
          <a:xfrm>
            <a:off x="2758685" y="9998515"/>
            <a:ext cx="9310047" cy="718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Picture 1" descr="logo de la universidad del quindio">
            <a:extLst>
              <a:ext uri="{FF2B5EF4-FFF2-40B4-BE49-F238E27FC236}">
                <a16:creationId xmlns:a16="http://schemas.microsoft.com/office/drawing/2014/main" id="{DD195261-ED45-4AE6-996D-B65E545E21FF}"/>
              </a:ext>
            </a:extLst>
          </xdr:cNvPr>
          <xdr:cNvPicPr>
            <a:picLocks noChangeAspect="1" noChangeArrowheads="1"/>
          </xdr:cNvPicPr>
        </xdr:nvPicPr>
        <xdr:blipFill>
          <a:blip xmlns:r="http://schemas.openxmlformats.org/officeDocument/2006/relationships" r:embed="rId2" cstate="print">
            <a:lum bright="-30000"/>
          </a:blip>
          <a:srcRect/>
          <a:stretch>
            <a:fillRect/>
          </a:stretch>
        </xdr:blipFill>
        <xdr:spPr bwMode="auto">
          <a:xfrm>
            <a:off x="2907038" y="10105151"/>
            <a:ext cx="464446" cy="537663"/>
          </a:xfrm>
          <a:prstGeom prst="rect">
            <a:avLst/>
          </a:prstGeom>
          <a:ln>
            <a:noFill/>
          </a:ln>
          <a:effectLst>
            <a:outerShdw blurRad="292100" dist="50800" dir="2700000" sx="97000" sy="97000" algn="tl" rotWithShape="0">
              <a:srgbClr val="333333">
                <a:alpha val="5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3" name="5 CuadroTexto">
            <a:extLst>
              <a:ext uri="{FF2B5EF4-FFF2-40B4-BE49-F238E27FC236}">
                <a16:creationId xmlns:a16="http://schemas.microsoft.com/office/drawing/2014/main" id="{85DFB4AF-CDAD-4AF6-90F0-2BDBD3609303}"/>
              </a:ext>
            </a:extLst>
          </xdr:cNvPr>
          <xdr:cNvSpPr txBox="1"/>
        </xdr:nvSpPr>
        <xdr:spPr bwMode="auto">
          <a:xfrm>
            <a:off x="5401253" y="10148270"/>
            <a:ext cx="3390929" cy="516970"/>
          </a:xfrm>
          <a:prstGeom prst="rect">
            <a:avLst/>
          </a:prstGeom>
          <a:solidFill>
            <a:sysClr val="window" lastClr="FFFFFF">
              <a:alpha val="80000"/>
            </a:sys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Base de Datos Cod: DOC_02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(PRODUCTIVIDAD PATENTE)</a:t>
            </a:r>
          </a:p>
        </xdr:txBody>
      </xdr:sp>
      <xdr:grpSp>
        <xdr:nvGrpSpPr>
          <xdr:cNvPr id="24" name="27 Grupo">
            <a:extLst>
              <a:ext uri="{FF2B5EF4-FFF2-40B4-BE49-F238E27FC236}">
                <a16:creationId xmlns:a16="http://schemas.microsoft.com/office/drawing/2014/main" id="{B6A63CA5-2A7C-4F98-ABFB-63D6AD7D616E}"/>
              </a:ext>
            </a:extLst>
          </xdr:cNvPr>
          <xdr:cNvGrpSpPr>
            <a:grpSpLocks/>
          </xdr:cNvGrpSpPr>
        </xdr:nvGrpSpPr>
        <xdr:grpSpPr bwMode="auto">
          <a:xfrm>
            <a:off x="3826429" y="10168218"/>
            <a:ext cx="962406" cy="590550"/>
            <a:chOff x="1991021" y="2705056"/>
            <a:chExt cx="1500859" cy="972913"/>
          </a:xfrm>
        </xdr:grpSpPr>
        <xdr:pic>
          <xdr:nvPicPr>
            <xdr:cNvPr id="25" name="Picture 1" descr="logo de la universidad del quindio">
              <a:extLst>
                <a:ext uri="{FF2B5EF4-FFF2-40B4-BE49-F238E27FC236}">
                  <a16:creationId xmlns:a16="http://schemas.microsoft.com/office/drawing/2014/main" id="{1142C375-C73B-49CB-8231-08D1828F1FC9}"/>
                </a:ext>
              </a:extLst>
            </xdr:cNvPr>
            <xdr:cNvPicPr>
              <a:picLocks noChangeAspect="1" noChangeArrowheads="1"/>
            </xdr:cNvPicPr>
          </xdr:nvPicPr>
          <xdr:blipFill rotWithShape="1">
            <a:blip xmlns:r="http://schemas.openxmlformats.org/officeDocument/2006/relationships" r:embed="rId3"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991021" y="2705056"/>
              <a:ext cx="407588" cy="3524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6" name="Picture 1" descr="logo de la universidad del quindio">
              <a:extLst>
                <a:ext uri="{FF2B5EF4-FFF2-40B4-BE49-F238E27FC236}">
                  <a16:creationId xmlns:a16="http://schemas.microsoft.com/office/drawing/2014/main" id="{8DDF17C5-D121-4E5C-818F-250812790AB5}"/>
                </a:ext>
              </a:extLst>
            </xdr:cNvPr>
            <xdr:cNvPicPr>
              <a:picLocks noChangeAspect="1" noChangeArrowheads="1"/>
            </xdr:cNvPicPr>
          </xdr:nvPicPr>
          <xdr:blipFill rotWithShape="1">
            <a:blip xmlns:r="http://schemas.openxmlformats.org/officeDocument/2006/relationships" r:embed="rId4"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484039" y="2899048"/>
              <a:ext cx="275320"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7" name="Picture 1" descr="logo de la universidad del quindio">
              <a:extLst>
                <a:ext uri="{FF2B5EF4-FFF2-40B4-BE49-F238E27FC236}">
                  <a16:creationId xmlns:a16="http://schemas.microsoft.com/office/drawing/2014/main" id="{11AB685D-FD93-4B09-8001-8C14AAC9AC7A}"/>
                </a:ext>
              </a:extLst>
            </xdr:cNvPr>
            <xdr:cNvPicPr>
              <a:picLocks noChangeAspect="1" noChangeArrowheads="1"/>
            </xdr:cNvPicPr>
          </xdr:nvPicPr>
          <xdr:blipFill rotWithShape="1">
            <a:blip xmlns:r="http://schemas.openxmlformats.org/officeDocument/2006/relationships" r:embed="rId5"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145307" y="3511146"/>
              <a:ext cx="192936" cy="16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8" name="Picture 1" descr="logo de la universidad del quindio">
              <a:extLst>
                <a:ext uri="{FF2B5EF4-FFF2-40B4-BE49-F238E27FC236}">
                  <a16:creationId xmlns:a16="http://schemas.microsoft.com/office/drawing/2014/main" id="{9FA5EA9D-8433-4AD1-9D36-64ADE1446FD0}"/>
                </a:ext>
              </a:extLst>
            </xdr:cNvPr>
            <xdr:cNvPicPr>
              <a:picLocks noChangeAspect="1" noChangeArrowheads="1"/>
            </xdr:cNvPicPr>
          </xdr:nvPicPr>
          <xdr:blipFill rotWithShape="1">
            <a:blip xmlns:r="http://schemas.openxmlformats.org/officeDocument/2006/relationships" r:embed="rId6"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627784" y="3175177"/>
              <a:ext cx="153371" cy="132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9" name="Picture 1" descr="logo de la universidad del quindio">
              <a:extLst>
                <a:ext uri="{FF2B5EF4-FFF2-40B4-BE49-F238E27FC236}">
                  <a16:creationId xmlns:a16="http://schemas.microsoft.com/office/drawing/2014/main" id="{EE9125B7-C704-488D-95ED-119A76122A41}"/>
                </a:ext>
              </a:extLst>
            </xdr:cNvPr>
            <xdr:cNvPicPr>
              <a:picLocks noChangeAspect="1" noChangeArrowheads="1"/>
            </xdr:cNvPicPr>
          </xdr:nvPicPr>
          <xdr:blipFill rotWithShape="1">
            <a:blip xmlns:r="http://schemas.openxmlformats.org/officeDocument/2006/relationships" r:embed="rId7"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195737" y="3141742"/>
              <a:ext cx="275319"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0" name="Picture 1" descr="logo de la universidad del quindio">
              <a:extLst>
                <a:ext uri="{FF2B5EF4-FFF2-40B4-BE49-F238E27FC236}">
                  <a16:creationId xmlns:a16="http://schemas.microsoft.com/office/drawing/2014/main" id="{FAA3EDEF-D33C-4831-B5CB-FC71A3797E2C}"/>
                </a:ext>
              </a:extLst>
            </xdr:cNvPr>
            <xdr:cNvPicPr>
              <a:picLocks noChangeAspect="1" noChangeArrowheads="1"/>
            </xdr:cNvPicPr>
          </xdr:nvPicPr>
          <xdr:blipFill rotWithShape="1">
            <a:blip xmlns:r="http://schemas.openxmlformats.org/officeDocument/2006/relationships" r:embed="rId8"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88957" y="2722391"/>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 name="Picture 1" descr="logo de la universidad del quindio">
              <a:extLst>
                <a:ext uri="{FF2B5EF4-FFF2-40B4-BE49-F238E27FC236}">
                  <a16:creationId xmlns:a16="http://schemas.microsoft.com/office/drawing/2014/main" id="{A62EE0A9-0E0B-469A-8992-2DFCD1AAABFF}"/>
                </a:ext>
              </a:extLst>
            </xdr:cNvPr>
            <xdr:cNvPicPr>
              <a:picLocks noChangeAspect="1" noChangeArrowheads="1"/>
            </xdr:cNvPicPr>
          </xdr:nvPicPr>
          <xdr:blipFill rotWithShape="1">
            <a:blip xmlns:r="http://schemas.openxmlformats.org/officeDocument/2006/relationships" r:embed="rId9"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483768" y="3368159"/>
              <a:ext cx="180020" cy="155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 name="Picture 1" descr="logo de la universidad del quindio">
              <a:extLst>
                <a:ext uri="{FF2B5EF4-FFF2-40B4-BE49-F238E27FC236}">
                  <a16:creationId xmlns:a16="http://schemas.microsoft.com/office/drawing/2014/main" id="{730D94F9-FA9B-4F7E-9FA1-3DCF2E84791F}"/>
                </a:ext>
              </a:extLst>
            </xdr:cNvPr>
            <xdr:cNvPicPr>
              <a:picLocks noChangeAspect="1" noChangeArrowheads="1"/>
            </xdr:cNvPicPr>
          </xdr:nvPicPr>
          <xdr:blipFill rotWithShape="1">
            <a:blip xmlns:r="http://schemas.openxmlformats.org/officeDocument/2006/relationships" r:embed="rId8"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15815" y="2998422"/>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 name="Picture 1" descr="logo de la universidad del quindio">
              <a:extLst>
                <a:ext uri="{FF2B5EF4-FFF2-40B4-BE49-F238E27FC236}">
                  <a16:creationId xmlns:a16="http://schemas.microsoft.com/office/drawing/2014/main" id="{B01B363F-1A67-42D4-81F6-AD77A06D3C73}"/>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544505" y="2731726"/>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4" name="Picture 1" descr="logo de la universidad del quindio">
              <a:extLst>
                <a:ext uri="{FF2B5EF4-FFF2-40B4-BE49-F238E27FC236}">
                  <a16:creationId xmlns:a16="http://schemas.microsoft.com/office/drawing/2014/main" id="{EACACA6D-4BCF-4106-86B1-12E13B5B7638}"/>
                </a:ext>
              </a:extLst>
            </xdr:cNvPr>
            <xdr:cNvPicPr>
              <a:picLocks noChangeAspect="1" noChangeArrowheads="1"/>
            </xdr:cNvPicPr>
          </xdr:nvPicPr>
          <xdr:blipFill rotWithShape="1">
            <a:blip xmlns:r="http://schemas.openxmlformats.org/officeDocument/2006/relationships" r:embed="rId8"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771800" y="2783681"/>
              <a:ext cx="140183" cy="12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5" name="Picture 1" descr="logo de la universidad del quindio">
              <a:extLst>
                <a:ext uri="{FF2B5EF4-FFF2-40B4-BE49-F238E27FC236}">
                  <a16:creationId xmlns:a16="http://schemas.microsoft.com/office/drawing/2014/main" id="{2DD1D81D-FC5B-466E-A84B-1CD3E8B789FF}"/>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3132217" y="2892410"/>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6" name="Picture 1" descr="logo de la universidad del quindio">
              <a:extLst>
                <a:ext uri="{FF2B5EF4-FFF2-40B4-BE49-F238E27FC236}">
                  <a16:creationId xmlns:a16="http://schemas.microsoft.com/office/drawing/2014/main" id="{B0B4D43D-4298-4307-A7C3-BE3740FADCD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b="22568"/>
            <a:stretch>
              <a:fillRect/>
            </a:stretch>
          </xdr:blipFill>
          <xdr:spPr bwMode="auto">
            <a:xfrm>
              <a:off x="3408601" y="2876939"/>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twoCellAnchor>
    <xdr:from>
      <xdr:col>11</xdr:col>
      <xdr:colOff>773906</xdr:colOff>
      <xdr:row>0</xdr:row>
      <xdr:rowOff>90996</xdr:rowOff>
    </xdr:from>
    <xdr:to>
      <xdr:col>17</xdr:col>
      <xdr:colOff>988219</xdr:colOff>
      <xdr:row>0</xdr:row>
      <xdr:rowOff>888305</xdr:rowOff>
    </xdr:to>
    <xdr:sp macro="" textlink="">
      <xdr:nvSpPr>
        <xdr:cNvPr id="37" name="21 CuadroTexto">
          <a:extLst>
            <a:ext uri="{FF2B5EF4-FFF2-40B4-BE49-F238E27FC236}">
              <a16:creationId xmlns:a16="http://schemas.microsoft.com/office/drawing/2014/main" id="{DFA358C6-F43A-4542-B682-FB90B1F0AF51}"/>
            </a:ext>
          </a:extLst>
        </xdr:cNvPr>
        <xdr:cNvSpPr txBox="1"/>
      </xdr:nvSpPr>
      <xdr:spPr bwMode="auto">
        <a:xfrm>
          <a:off x="11089481" y="90996"/>
          <a:ext cx="4271963" cy="79730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600" b="1" i="0" u="none" strike="noStrike" kern="0" cap="none" spc="0" normalizeH="0" baseline="0" noProof="0">
              <a:ln>
                <a:noFill/>
              </a:ln>
              <a:solidFill>
                <a:srgbClr val="006600"/>
              </a:solidFill>
              <a:effectLst/>
              <a:uLnTx/>
              <a:uFillTx/>
              <a:latin typeface="Calibri"/>
              <a:ea typeface="+mn-ea"/>
              <a:cs typeface="+mn-cs"/>
            </a:rPr>
            <a:t>UNIVERSIDAD DEL QUINDIO</a:t>
          </a:r>
        </a:p>
        <a:p>
          <a:pPr algn="ctr" eaLnBrk="1" fontAlgn="auto" latinLnBrk="0" hangingPunct="1"/>
          <a:r>
            <a:rPr lang="es-CO" sz="1100" b="0" i="0" baseline="0">
              <a:solidFill>
                <a:schemeClr val="accent3">
                  <a:lumMod val="50000"/>
                </a:schemeClr>
              </a:solidFill>
              <a:effectLst/>
              <a:latin typeface="+mn-lt"/>
              <a:ea typeface="+mn-ea"/>
              <a:cs typeface="+mn-cs"/>
            </a:rPr>
            <a:t>Oficina de Asuntos Profesorales</a:t>
          </a:r>
          <a:endParaRPr lang="es-CO">
            <a:solidFill>
              <a:schemeClr val="accent3">
                <a:lumMod val="50000"/>
              </a:schemeClr>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0</xdr:row>
      <xdr:rowOff>5</xdr:rowOff>
    </xdr:to>
    <xdr:grpSp>
      <xdr:nvGrpSpPr>
        <xdr:cNvPr id="2" name="1 Grupo">
          <a:extLst>
            <a:ext uri="{FF2B5EF4-FFF2-40B4-BE49-F238E27FC236}">
              <a16:creationId xmlns:a16="http://schemas.microsoft.com/office/drawing/2014/main" id="{4BF0F598-E5FF-4C3B-813D-805E2D25018C}"/>
            </a:ext>
          </a:extLst>
        </xdr:cNvPr>
        <xdr:cNvGrpSpPr/>
      </xdr:nvGrpSpPr>
      <xdr:grpSpPr>
        <a:xfrm>
          <a:off x="0" y="0"/>
          <a:ext cx="13982700" cy="5"/>
          <a:chOff x="2732244" y="9960764"/>
          <a:chExt cx="9340171" cy="797999"/>
        </a:xfrm>
      </xdr:grpSpPr>
      <xdr:pic>
        <xdr:nvPicPr>
          <xdr:cNvPr id="3" name="3 Imagen">
            <a:extLst>
              <a:ext uri="{FF2B5EF4-FFF2-40B4-BE49-F238E27FC236}">
                <a16:creationId xmlns:a16="http://schemas.microsoft.com/office/drawing/2014/main" id="{4B5156E4-C7DD-40CA-94F7-500867345E2E}"/>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4940" t="25337" r="15240" b="14766"/>
          <a:stretch>
            <a:fillRect/>
          </a:stretch>
        </xdr:blipFill>
        <xdr:spPr bwMode="auto">
          <a:xfrm>
            <a:off x="2732244" y="9960765"/>
            <a:ext cx="9310047" cy="797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3 CuadroTexto">
            <a:extLst>
              <a:ext uri="{FF2B5EF4-FFF2-40B4-BE49-F238E27FC236}">
                <a16:creationId xmlns:a16="http://schemas.microsoft.com/office/drawing/2014/main" id="{CA27B7D2-29BF-43BE-B9CA-3DD746B59E6A}"/>
              </a:ext>
            </a:extLst>
          </xdr:cNvPr>
          <xdr:cNvSpPr txBox="1"/>
        </xdr:nvSpPr>
        <xdr:spPr bwMode="auto">
          <a:xfrm>
            <a:off x="9393247" y="9960764"/>
            <a:ext cx="2679168" cy="6953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600" b="1" i="0" u="none" strike="noStrike" kern="0" cap="none" spc="0" normalizeH="0" baseline="0" noProof="0">
                <a:ln>
                  <a:noFill/>
                </a:ln>
                <a:solidFill>
                  <a:srgbClr val="006600"/>
                </a:solidFill>
                <a:effectLst/>
                <a:uLnTx/>
                <a:uFillTx/>
                <a:latin typeface="Calibri"/>
                <a:ea typeface="+mn-ea"/>
                <a:cs typeface="+mn-cs"/>
              </a:rPr>
              <a:t>UNIVERSIDAD DEL QUINDIO</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0" i="0" u="none" strike="noStrike" kern="0" cap="none" spc="0" normalizeH="0" baseline="0" noProof="0">
                <a:ln>
                  <a:noFill/>
                </a:ln>
                <a:solidFill>
                  <a:srgbClr val="006600"/>
                </a:solidFill>
                <a:effectLst/>
                <a:uLnTx/>
                <a:uFillTx/>
                <a:latin typeface="Calibri"/>
                <a:ea typeface="+mn-ea"/>
                <a:cs typeface="+mn-cs"/>
              </a:rPr>
              <a:t>Oficina de Asuntos Profesorales</a:t>
            </a:r>
          </a:p>
        </xdr:txBody>
      </xdr:sp>
      <xdr:pic>
        <xdr:nvPicPr>
          <xdr:cNvPr id="5" name="Picture 1" descr="logo de la universidad del quindio">
            <a:extLst>
              <a:ext uri="{FF2B5EF4-FFF2-40B4-BE49-F238E27FC236}">
                <a16:creationId xmlns:a16="http://schemas.microsoft.com/office/drawing/2014/main" id="{1984AAB8-1F97-42D3-ACDA-468B0D203B36}"/>
              </a:ext>
            </a:extLst>
          </xdr:cNvPr>
          <xdr:cNvPicPr>
            <a:picLocks noChangeAspect="1" noChangeArrowheads="1"/>
          </xdr:cNvPicPr>
        </xdr:nvPicPr>
        <xdr:blipFill>
          <a:blip xmlns:r="http://schemas.openxmlformats.org/officeDocument/2006/relationships" r:embed="rId2" cstate="print">
            <a:lum bright="-30000"/>
          </a:blip>
          <a:srcRect/>
          <a:stretch>
            <a:fillRect/>
          </a:stretch>
        </xdr:blipFill>
        <xdr:spPr bwMode="auto">
          <a:xfrm>
            <a:off x="2907038" y="10105151"/>
            <a:ext cx="464446" cy="537663"/>
          </a:xfrm>
          <a:prstGeom prst="rect">
            <a:avLst/>
          </a:prstGeom>
          <a:ln>
            <a:noFill/>
          </a:ln>
          <a:effectLst>
            <a:outerShdw blurRad="292100" dist="50800" dir="2700000" sx="97000" sy="97000" algn="tl" rotWithShape="0">
              <a:srgbClr val="333333">
                <a:alpha val="5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 name="5 CuadroTexto">
            <a:extLst>
              <a:ext uri="{FF2B5EF4-FFF2-40B4-BE49-F238E27FC236}">
                <a16:creationId xmlns:a16="http://schemas.microsoft.com/office/drawing/2014/main" id="{52B705BD-AA93-46B2-A8A8-D54499838EAA}"/>
              </a:ext>
            </a:extLst>
          </xdr:cNvPr>
          <xdr:cNvSpPr txBox="1"/>
        </xdr:nvSpPr>
        <xdr:spPr bwMode="auto">
          <a:xfrm>
            <a:off x="5771371" y="10093766"/>
            <a:ext cx="3390929" cy="598504"/>
          </a:xfrm>
          <a:prstGeom prst="rect">
            <a:avLst/>
          </a:prstGeom>
          <a:solidFill>
            <a:sysClr val="window" lastClr="FFFFFF">
              <a:alpha val="80000"/>
            </a:sys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Base de Datos Cod: DOC_02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(PRODUCTIVIDAD OBRA ARTÍSTICA)</a:t>
            </a:r>
          </a:p>
        </xdr:txBody>
      </xdr:sp>
      <xdr:grpSp>
        <xdr:nvGrpSpPr>
          <xdr:cNvPr id="7" name="27 Grupo">
            <a:extLst>
              <a:ext uri="{FF2B5EF4-FFF2-40B4-BE49-F238E27FC236}">
                <a16:creationId xmlns:a16="http://schemas.microsoft.com/office/drawing/2014/main" id="{7D188E31-118B-4A1B-95E8-4E849C69D010}"/>
              </a:ext>
            </a:extLst>
          </xdr:cNvPr>
          <xdr:cNvGrpSpPr>
            <a:grpSpLocks/>
          </xdr:cNvGrpSpPr>
        </xdr:nvGrpSpPr>
        <xdr:grpSpPr bwMode="auto">
          <a:xfrm>
            <a:off x="3564666" y="10134967"/>
            <a:ext cx="1046940" cy="478376"/>
            <a:chOff x="1582806" y="2650277"/>
            <a:chExt cx="1632690" cy="788110"/>
          </a:xfrm>
        </xdr:grpSpPr>
        <xdr:pic>
          <xdr:nvPicPr>
            <xdr:cNvPr id="8" name="Picture 1" descr="logo de la universidad del quindio">
              <a:extLst>
                <a:ext uri="{FF2B5EF4-FFF2-40B4-BE49-F238E27FC236}">
                  <a16:creationId xmlns:a16="http://schemas.microsoft.com/office/drawing/2014/main" id="{3A842CA8-BD45-41A9-878E-750DE8486041}"/>
                </a:ext>
              </a:extLst>
            </xdr:cNvPr>
            <xdr:cNvPicPr>
              <a:picLocks noChangeAspect="1" noChangeArrowheads="1"/>
            </xdr:cNvPicPr>
          </xdr:nvPicPr>
          <xdr:blipFill rotWithShape="1">
            <a:blip xmlns:r="http://schemas.openxmlformats.org/officeDocument/2006/relationships" r:embed="rId3"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582806" y="2650277"/>
              <a:ext cx="407588" cy="352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1" descr="logo de la universidad del quindio">
              <a:extLst>
                <a:ext uri="{FF2B5EF4-FFF2-40B4-BE49-F238E27FC236}">
                  <a16:creationId xmlns:a16="http://schemas.microsoft.com/office/drawing/2014/main" id="{6696BEE3-6D86-4712-8595-2CA24A48EE08}"/>
                </a:ext>
              </a:extLst>
            </xdr:cNvPr>
            <xdr:cNvPicPr>
              <a:picLocks noChangeAspect="1" noChangeArrowheads="1"/>
            </xdr:cNvPicPr>
          </xdr:nvPicPr>
          <xdr:blipFill rotWithShape="1">
            <a:blip xmlns:r="http://schemas.openxmlformats.org/officeDocument/2006/relationships" r:embed="rId4"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205710" y="3200331"/>
              <a:ext cx="275320"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1" descr="logo de la universidad del quindio">
              <a:extLst>
                <a:ext uri="{FF2B5EF4-FFF2-40B4-BE49-F238E27FC236}">
                  <a16:creationId xmlns:a16="http://schemas.microsoft.com/office/drawing/2014/main" id="{169AB914-54C7-47A3-9719-9715EB1585CC}"/>
                </a:ext>
              </a:extLst>
            </xdr:cNvPr>
            <xdr:cNvPicPr>
              <a:picLocks noChangeAspect="1" noChangeArrowheads="1"/>
            </xdr:cNvPicPr>
          </xdr:nvPicPr>
          <xdr:blipFill rotWithShape="1">
            <a:blip xmlns:r="http://schemas.openxmlformats.org/officeDocument/2006/relationships" r:embed="rId5"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894811" y="3155085"/>
              <a:ext cx="192936" cy="16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1" descr="logo de la universidad del quindio">
              <a:extLst>
                <a:ext uri="{FF2B5EF4-FFF2-40B4-BE49-F238E27FC236}">
                  <a16:creationId xmlns:a16="http://schemas.microsoft.com/office/drawing/2014/main" id="{C74E8264-9E8B-442D-8EE5-D7235EAA31C9}"/>
                </a:ext>
              </a:extLst>
            </xdr:cNvPr>
            <xdr:cNvPicPr>
              <a:picLocks noChangeAspect="1" noChangeArrowheads="1"/>
            </xdr:cNvPicPr>
          </xdr:nvPicPr>
          <xdr:blipFill rotWithShape="1">
            <a:blip xmlns:r="http://schemas.openxmlformats.org/officeDocument/2006/relationships" r:embed="rId6"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627784" y="3175177"/>
              <a:ext cx="153371" cy="132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Picture 1" descr="logo de la universidad del quindio">
              <a:extLst>
                <a:ext uri="{FF2B5EF4-FFF2-40B4-BE49-F238E27FC236}">
                  <a16:creationId xmlns:a16="http://schemas.microsoft.com/office/drawing/2014/main" id="{341A0BA8-2820-4AA2-8EE1-E2C3797D20AE}"/>
                </a:ext>
              </a:extLst>
            </xdr:cNvPr>
            <xdr:cNvPicPr>
              <a:picLocks noChangeAspect="1" noChangeArrowheads="1"/>
            </xdr:cNvPicPr>
          </xdr:nvPicPr>
          <xdr:blipFill rotWithShape="1">
            <a:blip xmlns:r="http://schemas.openxmlformats.org/officeDocument/2006/relationships" r:embed="rId7"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047295" y="2840460"/>
              <a:ext cx="275319"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1" descr="logo de la universidad del quindio">
              <a:extLst>
                <a:ext uri="{FF2B5EF4-FFF2-40B4-BE49-F238E27FC236}">
                  <a16:creationId xmlns:a16="http://schemas.microsoft.com/office/drawing/2014/main" id="{6DE07EF1-5BC9-4103-9AFF-6DBA04959D81}"/>
                </a:ext>
              </a:extLst>
            </xdr:cNvPr>
            <xdr:cNvPicPr>
              <a:picLocks noChangeAspect="1" noChangeArrowheads="1"/>
            </xdr:cNvPicPr>
          </xdr:nvPicPr>
          <xdr:blipFill rotWithShape="1">
            <a:blip xmlns:r="http://schemas.openxmlformats.org/officeDocument/2006/relationships" r:embed="rId8"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88957" y="2722391"/>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 name="Picture 1" descr="logo de la universidad del quindio">
              <a:extLst>
                <a:ext uri="{FF2B5EF4-FFF2-40B4-BE49-F238E27FC236}">
                  <a16:creationId xmlns:a16="http://schemas.microsoft.com/office/drawing/2014/main" id="{EB073C12-D4AD-48B5-AA86-02D52F7B1953}"/>
                </a:ext>
              </a:extLst>
            </xdr:cNvPr>
            <xdr:cNvPicPr>
              <a:picLocks noChangeAspect="1" noChangeArrowheads="1"/>
            </xdr:cNvPicPr>
          </xdr:nvPicPr>
          <xdr:blipFill rotWithShape="1">
            <a:blip xmlns:r="http://schemas.openxmlformats.org/officeDocument/2006/relationships" r:embed="rId9"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363159" y="2916235"/>
              <a:ext cx="180020" cy="155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Picture 1" descr="logo de la universidad del quindio">
              <a:extLst>
                <a:ext uri="{FF2B5EF4-FFF2-40B4-BE49-F238E27FC236}">
                  <a16:creationId xmlns:a16="http://schemas.microsoft.com/office/drawing/2014/main" id="{D8EA9DBB-E223-42DB-A866-2180659D0096}"/>
                </a:ext>
              </a:extLst>
            </xdr:cNvPr>
            <xdr:cNvPicPr>
              <a:picLocks noChangeAspect="1" noChangeArrowheads="1"/>
            </xdr:cNvPicPr>
          </xdr:nvPicPr>
          <xdr:blipFill rotWithShape="1">
            <a:blip xmlns:r="http://schemas.openxmlformats.org/officeDocument/2006/relationships" r:embed="rId8"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15815" y="2998422"/>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1" descr="logo de la universidad del quindio">
              <a:extLst>
                <a:ext uri="{FF2B5EF4-FFF2-40B4-BE49-F238E27FC236}">
                  <a16:creationId xmlns:a16="http://schemas.microsoft.com/office/drawing/2014/main" id="{8381756F-AC02-4062-B5C0-3209C1891CFC}"/>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544505" y="2731726"/>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7" name="Picture 1" descr="logo de la universidad del quindio">
              <a:extLst>
                <a:ext uri="{FF2B5EF4-FFF2-40B4-BE49-F238E27FC236}">
                  <a16:creationId xmlns:a16="http://schemas.microsoft.com/office/drawing/2014/main" id="{9DDE8F71-49B4-428B-AAC9-50AA8FD7A6FB}"/>
                </a:ext>
              </a:extLst>
            </xdr:cNvPr>
            <xdr:cNvPicPr>
              <a:picLocks noChangeAspect="1" noChangeArrowheads="1"/>
            </xdr:cNvPicPr>
          </xdr:nvPicPr>
          <xdr:blipFill rotWithShape="1">
            <a:blip xmlns:r="http://schemas.openxmlformats.org/officeDocument/2006/relationships" r:embed="rId8"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771800" y="2783681"/>
              <a:ext cx="140183" cy="12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8" name="Picture 1" descr="logo de la universidad del quindio">
              <a:extLst>
                <a:ext uri="{FF2B5EF4-FFF2-40B4-BE49-F238E27FC236}">
                  <a16:creationId xmlns:a16="http://schemas.microsoft.com/office/drawing/2014/main" id="{EEB7623D-DFB3-4472-AC76-4BF35892F4CB}"/>
                </a:ext>
              </a:extLst>
            </xdr:cNvPr>
            <xdr:cNvPicPr>
              <a:picLocks noChangeAspect="1" noChangeArrowheads="1"/>
            </xdr:cNvPicPr>
          </xdr:nvPicPr>
          <xdr:blipFill rotWithShape="1">
            <a:blip xmlns:r="http://schemas.openxmlformats.org/officeDocument/2006/relationships" r:embed="rId10"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3132217" y="2892410"/>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 name="Picture 1" descr="logo de la universidad del quindio">
              <a:extLst>
                <a:ext uri="{FF2B5EF4-FFF2-40B4-BE49-F238E27FC236}">
                  <a16:creationId xmlns:a16="http://schemas.microsoft.com/office/drawing/2014/main" id="{9FCD3802-8648-4DCF-A15A-1FC4715B63E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b="22568"/>
            <a:stretch>
              <a:fillRect/>
            </a:stretch>
          </xdr:blipFill>
          <xdr:spPr bwMode="auto">
            <a:xfrm>
              <a:off x="2629281" y="2918024"/>
              <a:ext cx="83279" cy="72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2117</xdr:colOff>
      <xdr:row>0</xdr:row>
      <xdr:rowOff>0</xdr:rowOff>
    </xdr:from>
    <xdr:to>
      <xdr:col>17</xdr:col>
      <xdr:colOff>2133600</xdr:colOff>
      <xdr:row>1</xdr:row>
      <xdr:rowOff>2502</xdr:rowOff>
    </xdr:to>
    <xdr:grpSp>
      <xdr:nvGrpSpPr>
        <xdr:cNvPr id="2" name="1 Grupo">
          <a:extLst>
            <a:ext uri="{FF2B5EF4-FFF2-40B4-BE49-F238E27FC236}">
              <a16:creationId xmlns:a16="http://schemas.microsoft.com/office/drawing/2014/main" id="{9175CBB1-2209-475C-8900-81A3A6C2D5B4}"/>
            </a:ext>
          </a:extLst>
        </xdr:cNvPr>
        <xdr:cNvGrpSpPr/>
      </xdr:nvGrpSpPr>
      <xdr:grpSpPr>
        <a:xfrm>
          <a:off x="2117" y="0"/>
          <a:ext cx="15780808" cy="916902"/>
          <a:chOff x="2775470" y="9912087"/>
          <a:chExt cx="9310047" cy="718301"/>
        </a:xfrm>
      </xdr:grpSpPr>
      <xdr:pic>
        <xdr:nvPicPr>
          <xdr:cNvPr id="3" name="3 Imagen">
            <a:extLst>
              <a:ext uri="{FF2B5EF4-FFF2-40B4-BE49-F238E27FC236}">
                <a16:creationId xmlns:a16="http://schemas.microsoft.com/office/drawing/2014/main" id="{EA5C5F66-E42B-4490-B1AA-EEE5A8B7D204}"/>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4940" t="25337" r="15240" b="14766"/>
          <a:stretch>
            <a:fillRect/>
          </a:stretch>
        </xdr:blipFill>
        <xdr:spPr bwMode="auto">
          <a:xfrm>
            <a:off x="2775470" y="9912087"/>
            <a:ext cx="9310047" cy="718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1" descr="logo de la universidad del quindio">
            <a:extLst>
              <a:ext uri="{FF2B5EF4-FFF2-40B4-BE49-F238E27FC236}">
                <a16:creationId xmlns:a16="http://schemas.microsoft.com/office/drawing/2014/main" id="{6E4F8EFA-7D26-4EAD-BA7C-0D7A916907A3}"/>
              </a:ext>
            </a:extLst>
          </xdr:cNvPr>
          <xdr:cNvPicPr>
            <a:picLocks noChangeAspect="1" noChangeArrowheads="1"/>
          </xdr:cNvPicPr>
        </xdr:nvPicPr>
        <xdr:blipFill>
          <a:blip xmlns:r="http://schemas.openxmlformats.org/officeDocument/2006/relationships" r:embed="rId2" cstate="print">
            <a:lum bright="-30000"/>
          </a:blip>
          <a:srcRect/>
          <a:stretch>
            <a:fillRect/>
          </a:stretch>
        </xdr:blipFill>
        <xdr:spPr bwMode="auto">
          <a:xfrm>
            <a:off x="3034615" y="10046829"/>
            <a:ext cx="422527" cy="537663"/>
          </a:xfrm>
          <a:prstGeom prst="rect">
            <a:avLst/>
          </a:prstGeom>
          <a:ln>
            <a:noFill/>
          </a:ln>
          <a:effectLst>
            <a:outerShdw blurRad="292100" dist="50800" dir="2700000" sx="97000" sy="97000" algn="tl" rotWithShape="0">
              <a:srgbClr val="333333">
                <a:alpha val="5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5" name="27 Grupo">
            <a:extLst>
              <a:ext uri="{FF2B5EF4-FFF2-40B4-BE49-F238E27FC236}">
                <a16:creationId xmlns:a16="http://schemas.microsoft.com/office/drawing/2014/main" id="{1D70E919-53E6-4934-9E37-F064B6A0786A}"/>
              </a:ext>
            </a:extLst>
          </xdr:cNvPr>
          <xdr:cNvGrpSpPr>
            <a:grpSpLocks/>
          </xdr:cNvGrpSpPr>
        </xdr:nvGrpSpPr>
        <xdr:grpSpPr bwMode="auto">
          <a:xfrm>
            <a:off x="3783086" y="10168216"/>
            <a:ext cx="1005750" cy="459278"/>
            <a:chOff x="1923427" y="2705056"/>
            <a:chExt cx="1568453" cy="756647"/>
          </a:xfrm>
        </xdr:grpSpPr>
        <xdr:pic>
          <xdr:nvPicPr>
            <xdr:cNvPr id="6" name="Picture 1" descr="logo de la universidad del quindio">
              <a:extLst>
                <a:ext uri="{FF2B5EF4-FFF2-40B4-BE49-F238E27FC236}">
                  <a16:creationId xmlns:a16="http://schemas.microsoft.com/office/drawing/2014/main" id="{8B2E87B0-9C9B-4D13-9868-828C9C88D367}"/>
                </a:ext>
              </a:extLst>
            </xdr:cNvPr>
            <xdr:cNvPicPr>
              <a:picLocks noChangeAspect="1" noChangeArrowheads="1"/>
            </xdr:cNvPicPr>
          </xdr:nvPicPr>
          <xdr:blipFill rotWithShape="1">
            <a:blip xmlns:r="http://schemas.openxmlformats.org/officeDocument/2006/relationships" r:embed="rId3"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991021" y="2705056"/>
              <a:ext cx="407588" cy="3524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Picture 1" descr="logo de la universidad del quindio">
              <a:extLst>
                <a:ext uri="{FF2B5EF4-FFF2-40B4-BE49-F238E27FC236}">
                  <a16:creationId xmlns:a16="http://schemas.microsoft.com/office/drawing/2014/main" id="{53D34A78-81D6-4785-8FD9-0BF4901788C1}"/>
                </a:ext>
              </a:extLst>
            </xdr:cNvPr>
            <xdr:cNvPicPr>
              <a:picLocks noChangeAspect="1" noChangeArrowheads="1"/>
            </xdr:cNvPicPr>
          </xdr:nvPicPr>
          <xdr:blipFill rotWithShape="1">
            <a:blip xmlns:r="http://schemas.openxmlformats.org/officeDocument/2006/relationships" r:embed="rId4"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484039" y="2899048"/>
              <a:ext cx="275320"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Picture 1" descr="logo de la universidad del quindio">
              <a:extLst>
                <a:ext uri="{FF2B5EF4-FFF2-40B4-BE49-F238E27FC236}">
                  <a16:creationId xmlns:a16="http://schemas.microsoft.com/office/drawing/2014/main" id="{22350D9C-BD09-4C76-B30C-6EDE4FB57A93}"/>
                </a:ext>
              </a:extLst>
            </xdr:cNvPr>
            <xdr:cNvPicPr>
              <a:picLocks noChangeAspect="1" noChangeArrowheads="1"/>
            </xdr:cNvPicPr>
          </xdr:nvPicPr>
          <xdr:blipFill rotWithShape="1">
            <a:blip xmlns:r="http://schemas.openxmlformats.org/officeDocument/2006/relationships" r:embed="rId5"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1923427" y="3287817"/>
              <a:ext cx="192936" cy="166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1" descr="logo de la universidad del quindio">
              <a:extLst>
                <a:ext uri="{FF2B5EF4-FFF2-40B4-BE49-F238E27FC236}">
                  <a16:creationId xmlns:a16="http://schemas.microsoft.com/office/drawing/2014/main" id="{7D3FACB0-F62E-4423-88FC-346ABCE7AF9E}"/>
                </a:ext>
              </a:extLst>
            </xdr:cNvPr>
            <xdr:cNvPicPr>
              <a:picLocks noChangeAspect="1" noChangeArrowheads="1"/>
            </xdr:cNvPicPr>
          </xdr:nvPicPr>
          <xdr:blipFill rotWithShape="1">
            <a:blip xmlns:r="http://schemas.openxmlformats.org/officeDocument/2006/relationships" r:embed="rId6"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195737" y="3141742"/>
              <a:ext cx="275319" cy="23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1" descr="logo de la universidad del quindio">
              <a:extLst>
                <a:ext uri="{FF2B5EF4-FFF2-40B4-BE49-F238E27FC236}">
                  <a16:creationId xmlns:a16="http://schemas.microsoft.com/office/drawing/2014/main" id="{4C2CED19-8C33-4B25-BD02-68E7082FC164}"/>
                </a:ext>
              </a:extLst>
            </xdr:cNvPr>
            <xdr:cNvPicPr>
              <a:picLocks noChangeAspect="1" noChangeArrowheads="1"/>
            </xdr:cNvPicPr>
          </xdr:nvPicPr>
          <xdr:blipFill rotWithShape="1">
            <a:blip xmlns:r="http://schemas.openxmlformats.org/officeDocument/2006/relationships" r:embed="rId7" cstate="print">
              <a:duotone>
                <a:srgbClr val="4F81BD">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88957" y="2722391"/>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1" descr="logo de la universidad del quindio">
              <a:extLst>
                <a:ext uri="{FF2B5EF4-FFF2-40B4-BE49-F238E27FC236}">
                  <a16:creationId xmlns:a16="http://schemas.microsoft.com/office/drawing/2014/main" id="{D4221989-CB5A-46B9-B34D-EC469FF6A747}"/>
                </a:ext>
              </a:extLst>
            </xdr:cNvPr>
            <xdr:cNvPicPr>
              <a:picLocks noChangeAspect="1" noChangeArrowheads="1"/>
            </xdr:cNvPicPr>
          </xdr:nvPicPr>
          <xdr:blipFill rotWithShape="1">
            <a:blip xmlns:r="http://schemas.openxmlformats.org/officeDocument/2006/relationships" r:embed="rId8" cstate="print">
              <a:duotone>
                <a:srgbClr val="EEECE1">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501029" y="3306048"/>
              <a:ext cx="180020" cy="155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Picture 1" descr="logo de la universidad del quindio">
              <a:extLst>
                <a:ext uri="{FF2B5EF4-FFF2-40B4-BE49-F238E27FC236}">
                  <a16:creationId xmlns:a16="http://schemas.microsoft.com/office/drawing/2014/main" id="{174BF8EE-7BE0-4762-9B84-0C9AE9979AA7}"/>
                </a:ext>
              </a:extLst>
            </xdr:cNvPr>
            <xdr:cNvPicPr>
              <a:picLocks noChangeAspect="1" noChangeArrowheads="1"/>
            </xdr:cNvPicPr>
          </xdr:nvPicPr>
          <xdr:blipFill rotWithShape="1">
            <a:blip xmlns:r="http://schemas.openxmlformats.org/officeDocument/2006/relationships" r:embed="rId7" cstate="print">
              <a:duotone>
                <a:srgbClr val="9BBB59">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915815" y="2998422"/>
              <a:ext cx="140183" cy="121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1" descr="logo de la universidad del quindio">
              <a:extLst>
                <a:ext uri="{FF2B5EF4-FFF2-40B4-BE49-F238E27FC236}">
                  <a16:creationId xmlns:a16="http://schemas.microsoft.com/office/drawing/2014/main" id="{DAB9B552-8592-44C8-8D20-5A1BBE15C99C}"/>
                </a:ext>
              </a:extLst>
            </xdr:cNvPr>
            <xdr:cNvPicPr>
              <a:picLocks noChangeAspect="1" noChangeArrowheads="1"/>
            </xdr:cNvPicPr>
          </xdr:nvPicPr>
          <xdr:blipFill rotWithShape="1">
            <a:blip xmlns:r="http://schemas.openxmlformats.org/officeDocument/2006/relationships" r:embed="rId9"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544505" y="2731726"/>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 name="Picture 1" descr="logo de la universidad del quindio">
              <a:extLst>
                <a:ext uri="{FF2B5EF4-FFF2-40B4-BE49-F238E27FC236}">
                  <a16:creationId xmlns:a16="http://schemas.microsoft.com/office/drawing/2014/main" id="{504E300C-521F-4FEC-AAF5-7312C5AC1D1F}"/>
                </a:ext>
              </a:extLst>
            </xdr:cNvPr>
            <xdr:cNvPicPr>
              <a:picLocks noChangeAspect="1" noChangeArrowheads="1"/>
            </xdr:cNvPicPr>
          </xdr:nvPicPr>
          <xdr:blipFill rotWithShape="1">
            <a:blip xmlns:r="http://schemas.openxmlformats.org/officeDocument/2006/relationships" r:embed="rId7" cstate="print">
              <a:duotone>
                <a:srgbClr val="F79646">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2771800" y="2783681"/>
              <a:ext cx="140183" cy="12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Picture 1" descr="logo de la universidad del quindio">
              <a:extLst>
                <a:ext uri="{FF2B5EF4-FFF2-40B4-BE49-F238E27FC236}">
                  <a16:creationId xmlns:a16="http://schemas.microsoft.com/office/drawing/2014/main" id="{2756C5AE-42E5-437D-B55B-56BCA27EBF3C}"/>
                </a:ext>
              </a:extLst>
            </xdr:cNvPr>
            <xdr:cNvPicPr>
              <a:picLocks noChangeAspect="1" noChangeArrowheads="1"/>
            </xdr:cNvPicPr>
          </xdr:nvPicPr>
          <xdr:blipFill rotWithShape="1">
            <a:blip xmlns:r="http://schemas.openxmlformats.org/officeDocument/2006/relationships" r:embed="rId9" cstate="print">
              <a:duotone>
                <a:srgbClr val="8064A2">
                  <a:shade val="45000"/>
                  <a:satMod val="135000"/>
                </a:srgbClr>
                <a:prstClr val="white"/>
              </a:duotone>
              <a:extLst>
                <a:ext uri="{28A0092B-C50C-407E-A947-70E740481C1C}">
                  <a14:useLocalDpi xmlns:a14="http://schemas.microsoft.com/office/drawing/2010/main" val="0"/>
                </a:ext>
              </a:extLst>
            </a:blip>
            <a:srcRect b="22568"/>
            <a:stretch/>
          </xdr:blipFill>
          <xdr:spPr bwMode="auto">
            <a:xfrm>
              <a:off x="3132217" y="2892410"/>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1" descr="logo de la universidad del quindio">
              <a:extLst>
                <a:ext uri="{FF2B5EF4-FFF2-40B4-BE49-F238E27FC236}">
                  <a16:creationId xmlns:a16="http://schemas.microsoft.com/office/drawing/2014/main" id="{B23B79A7-4EB6-4901-969A-1C9C7A7EDF0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b="22568"/>
            <a:stretch>
              <a:fillRect/>
            </a:stretch>
          </xdr:blipFill>
          <xdr:spPr bwMode="auto">
            <a:xfrm>
              <a:off x="3408601" y="2876939"/>
              <a:ext cx="83279" cy="720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twoCellAnchor>
    <xdr:from>
      <xdr:col>7</xdr:col>
      <xdr:colOff>761844</xdr:colOff>
      <xdr:row>0</xdr:row>
      <xdr:rowOff>110459</xdr:rowOff>
    </xdr:from>
    <xdr:to>
      <xdr:col>17</xdr:col>
      <xdr:colOff>1005418</xdr:colOff>
      <xdr:row>0</xdr:row>
      <xdr:rowOff>781098</xdr:rowOff>
    </xdr:to>
    <xdr:grpSp>
      <xdr:nvGrpSpPr>
        <xdr:cNvPr id="17" name="1 Grupo">
          <a:extLst>
            <a:ext uri="{FF2B5EF4-FFF2-40B4-BE49-F238E27FC236}">
              <a16:creationId xmlns:a16="http://schemas.microsoft.com/office/drawing/2014/main" id="{8CC0A40A-92A8-488E-9B45-6C90AFB023BE}"/>
            </a:ext>
          </a:extLst>
        </xdr:cNvPr>
        <xdr:cNvGrpSpPr/>
      </xdr:nvGrpSpPr>
      <xdr:grpSpPr>
        <a:xfrm>
          <a:off x="5410044" y="110459"/>
          <a:ext cx="9244699" cy="670639"/>
          <a:chOff x="6246646" y="10033995"/>
          <a:chExt cx="5982358" cy="4955580"/>
        </a:xfrm>
      </xdr:grpSpPr>
      <xdr:sp macro="" textlink="">
        <xdr:nvSpPr>
          <xdr:cNvPr id="18" name="3 CuadroTexto">
            <a:extLst>
              <a:ext uri="{FF2B5EF4-FFF2-40B4-BE49-F238E27FC236}">
                <a16:creationId xmlns:a16="http://schemas.microsoft.com/office/drawing/2014/main" id="{148C14B1-4E37-4BDD-82E6-3E96BD46A4F1}"/>
              </a:ext>
            </a:extLst>
          </xdr:cNvPr>
          <xdr:cNvSpPr txBox="1"/>
        </xdr:nvSpPr>
        <xdr:spPr bwMode="auto">
          <a:xfrm>
            <a:off x="10589776" y="10033995"/>
            <a:ext cx="1639228" cy="495558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600" b="1" i="0" u="none" strike="noStrike" kern="0" cap="none" spc="0" normalizeH="0" baseline="0" noProof="0">
                <a:ln>
                  <a:noFill/>
                </a:ln>
                <a:solidFill>
                  <a:srgbClr val="006600"/>
                </a:solidFill>
                <a:effectLst/>
                <a:uLnTx/>
                <a:uFillTx/>
                <a:latin typeface="Calibri"/>
                <a:ea typeface="+mn-ea"/>
                <a:cs typeface="+mn-cs"/>
              </a:rPr>
              <a:t>UNIVERSIDAD DEL QUINDIO</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0" i="0" u="none" strike="noStrike" kern="0" cap="none" spc="0" normalizeH="0" baseline="0" noProof="0">
                <a:ln>
                  <a:noFill/>
                </a:ln>
                <a:solidFill>
                  <a:srgbClr val="006600"/>
                </a:solidFill>
                <a:effectLst/>
                <a:uLnTx/>
                <a:uFillTx/>
                <a:latin typeface="Calibri"/>
                <a:ea typeface="+mn-ea"/>
                <a:cs typeface="+mn-cs"/>
              </a:rPr>
              <a:t>Oficina de Asuntos Profesorales</a:t>
            </a:r>
          </a:p>
        </xdr:txBody>
      </xdr:sp>
      <xdr:sp macro="" textlink="">
        <xdr:nvSpPr>
          <xdr:cNvPr id="19" name="5 CuadroTexto">
            <a:extLst>
              <a:ext uri="{FF2B5EF4-FFF2-40B4-BE49-F238E27FC236}">
                <a16:creationId xmlns:a16="http://schemas.microsoft.com/office/drawing/2014/main" id="{E2D2A189-E502-4A7F-ABE8-2ACD177B9B5E}"/>
              </a:ext>
            </a:extLst>
          </xdr:cNvPr>
          <xdr:cNvSpPr txBox="1"/>
        </xdr:nvSpPr>
        <xdr:spPr bwMode="auto">
          <a:xfrm>
            <a:off x="6246646" y="10044458"/>
            <a:ext cx="2592765" cy="4803996"/>
          </a:xfrm>
          <a:prstGeom prst="rect">
            <a:avLst/>
          </a:prstGeom>
          <a:solidFill>
            <a:sysClr val="window" lastClr="FFFFFF">
              <a:alpha val="80000"/>
            </a:sysClr>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Base de Datos Cod: DOC_02</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006600"/>
                </a:solidFill>
                <a:effectLst/>
                <a:uLnTx/>
                <a:uFillTx/>
                <a:latin typeface="Calibri"/>
                <a:ea typeface="+mn-ea"/>
                <a:cs typeface="+mn-cs"/>
              </a:rPr>
              <a:t>(PRODUCTIVIDAD SOFTWARE)</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scienti.minciencias.gov.co/publindex/" TargetMode="External"/><Relationship Id="rId7" Type="http://schemas.openxmlformats.org/officeDocument/2006/relationships/hyperlink" Target="https://scienti.minciencias.gov.co/publindex/" TargetMode="External"/><Relationship Id="rId2" Type="http://schemas.openxmlformats.org/officeDocument/2006/relationships/hyperlink" Target="https://scienti.minciencias.gov.co/publindex/" TargetMode="External"/><Relationship Id="rId1" Type="http://schemas.openxmlformats.org/officeDocument/2006/relationships/hyperlink" Target="https://scienti.minciencias.gov.co/publindex/" TargetMode="External"/><Relationship Id="rId6" Type="http://schemas.openxmlformats.org/officeDocument/2006/relationships/hyperlink" Target="https://scienti.minciencias.gov.co/publindex/" TargetMode="External"/><Relationship Id="rId5" Type="http://schemas.openxmlformats.org/officeDocument/2006/relationships/hyperlink" Target="https://scienti.minciencias.gov.co/publindex/" TargetMode="External"/><Relationship Id="rId4" Type="http://schemas.openxmlformats.org/officeDocument/2006/relationships/hyperlink" Target="https://scienti.minciencias.gov.co/publindex/" TargetMode="Externa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5A1A-BCA9-441A-8DC4-E13EBDFB5748}">
  <sheetPr>
    <tabColor theme="6" tint="0.59999389629810485"/>
  </sheetPr>
  <dimension ref="A1:Q12"/>
  <sheetViews>
    <sheetView view="pageLayout" zoomScaleNormal="100" workbookViewId="0">
      <selection sqref="A1:XFD1"/>
    </sheetView>
  </sheetViews>
  <sheetFormatPr baseColWidth="10" defaultRowHeight="12.75" x14ac:dyDescent="0.2"/>
  <cols>
    <col min="1" max="1" width="5" style="98" bestFit="1" customWidth="1"/>
    <col min="2" max="2" width="7.140625" style="98" customWidth="1"/>
    <col min="3" max="3" width="5.5703125" style="98" customWidth="1"/>
    <col min="4" max="4" width="12.140625" style="98" customWidth="1"/>
    <col min="5" max="5" width="15.140625" style="98" bestFit="1" customWidth="1"/>
    <col min="6" max="6" width="12.7109375" style="175" bestFit="1" customWidth="1"/>
    <col min="7" max="7" width="10.42578125" style="175" bestFit="1" customWidth="1"/>
    <col min="8" max="8" width="11" style="175" bestFit="1" customWidth="1"/>
    <col min="9" max="9" width="14.85546875" style="98" customWidth="1"/>
    <col min="10" max="10" width="10.5703125" style="98" customWidth="1"/>
    <col min="11" max="11" width="16.7109375" style="98" bestFit="1" customWidth="1"/>
    <col min="12" max="12" width="13" style="98" customWidth="1"/>
    <col min="13" max="14" width="11.85546875" style="98" bestFit="1" customWidth="1"/>
    <col min="15" max="15" width="10.7109375" style="98" bestFit="1" customWidth="1"/>
    <col min="16" max="16" width="12.28515625" style="98" customWidth="1"/>
    <col min="17" max="17" width="15.140625" style="98" bestFit="1" customWidth="1"/>
    <col min="18" max="16384" width="11.42578125" style="98"/>
  </cols>
  <sheetData>
    <row r="1" spans="1:17" ht="51" x14ac:dyDescent="0.2">
      <c r="A1" s="36" t="s">
        <v>6</v>
      </c>
      <c r="B1" s="35" t="s">
        <v>1</v>
      </c>
      <c r="C1" s="36" t="s">
        <v>5</v>
      </c>
      <c r="D1" s="35" t="s">
        <v>261</v>
      </c>
      <c r="E1" s="35" t="s">
        <v>7</v>
      </c>
      <c r="F1" s="35" t="s">
        <v>262</v>
      </c>
      <c r="G1" s="35" t="s">
        <v>82</v>
      </c>
      <c r="H1" s="35" t="s">
        <v>3</v>
      </c>
      <c r="I1" s="35" t="s">
        <v>83</v>
      </c>
      <c r="J1" s="35" t="s">
        <v>2</v>
      </c>
      <c r="K1" s="35" t="s">
        <v>263</v>
      </c>
      <c r="L1" s="35" t="s">
        <v>264</v>
      </c>
      <c r="M1" s="35" t="s">
        <v>265</v>
      </c>
      <c r="N1" s="35" t="s">
        <v>266</v>
      </c>
      <c r="O1" s="35" t="s">
        <v>0</v>
      </c>
      <c r="P1" s="35" t="s">
        <v>270</v>
      </c>
      <c r="Q1" s="35" t="s">
        <v>28</v>
      </c>
    </row>
    <row r="2" spans="1:17" ht="51" x14ac:dyDescent="0.2">
      <c r="A2" s="214">
        <v>2026</v>
      </c>
      <c r="B2" s="214" t="s">
        <v>24</v>
      </c>
      <c r="C2" s="214">
        <v>1</v>
      </c>
      <c r="D2" s="203">
        <v>52353956</v>
      </c>
      <c r="E2" s="200" t="s">
        <v>715</v>
      </c>
      <c r="F2" s="212" t="s">
        <v>17</v>
      </c>
      <c r="G2" s="212" t="s">
        <v>22</v>
      </c>
      <c r="H2" s="212" t="s">
        <v>8</v>
      </c>
      <c r="I2" s="228" t="s">
        <v>112</v>
      </c>
      <c r="J2" s="228" t="s">
        <v>63</v>
      </c>
      <c r="K2" s="198" t="s">
        <v>633</v>
      </c>
      <c r="L2" s="198" t="s">
        <v>716</v>
      </c>
      <c r="M2" s="198" t="s">
        <v>307</v>
      </c>
      <c r="N2" s="249">
        <v>46186</v>
      </c>
      <c r="O2" s="202">
        <v>80</v>
      </c>
      <c r="P2" s="352" t="s">
        <v>861</v>
      </c>
      <c r="Q2" s="250"/>
    </row>
    <row r="3" spans="1:17" ht="51" x14ac:dyDescent="0.2">
      <c r="A3" s="277">
        <v>2026</v>
      </c>
      <c r="B3" s="277" t="s">
        <v>24</v>
      </c>
      <c r="C3" s="277">
        <v>2</v>
      </c>
      <c r="D3" s="203">
        <v>1094911213</v>
      </c>
      <c r="E3" s="273" t="s">
        <v>597</v>
      </c>
      <c r="F3" s="212" t="s">
        <v>17</v>
      </c>
      <c r="G3" s="212" t="s">
        <v>10</v>
      </c>
      <c r="H3" s="212" t="s">
        <v>8</v>
      </c>
      <c r="I3" s="228" t="s">
        <v>305</v>
      </c>
      <c r="J3" s="228" t="s">
        <v>23</v>
      </c>
      <c r="K3" s="284" t="s">
        <v>9</v>
      </c>
      <c r="L3" s="284" t="s">
        <v>814</v>
      </c>
      <c r="M3" s="284" t="s">
        <v>307</v>
      </c>
      <c r="N3" s="275">
        <v>46198</v>
      </c>
      <c r="O3" s="276">
        <v>80</v>
      </c>
      <c r="P3" s="352" t="s">
        <v>861</v>
      </c>
      <c r="Q3" s="250"/>
    </row>
    <row r="4" spans="1:17" x14ac:dyDescent="0.2">
      <c r="A4" s="175"/>
      <c r="B4" s="175"/>
      <c r="C4" s="175"/>
      <c r="D4" s="182"/>
      <c r="E4" s="176"/>
      <c r="F4" s="177"/>
      <c r="G4" s="177"/>
      <c r="H4" s="177"/>
      <c r="I4" s="177"/>
      <c r="J4" s="177"/>
      <c r="K4" s="177"/>
      <c r="L4" s="177"/>
      <c r="M4" s="177"/>
      <c r="N4" s="183"/>
      <c r="O4" s="184"/>
      <c r="P4" s="185"/>
      <c r="Q4" s="177"/>
    </row>
    <row r="5" spans="1:17" x14ac:dyDescent="0.2">
      <c r="L5" s="358" t="s">
        <v>267</v>
      </c>
      <c r="M5" s="358"/>
      <c r="N5" s="358"/>
      <c r="O5" s="186">
        <f>SUM(O2:O3)</f>
        <v>160</v>
      </c>
    </row>
    <row r="8" spans="1:17" x14ac:dyDescent="0.2">
      <c r="A8" s="33"/>
      <c r="B8" s="33"/>
      <c r="C8" s="33"/>
      <c r="D8" s="33"/>
      <c r="E8" s="33"/>
      <c r="F8" s="359" t="s">
        <v>12</v>
      </c>
      <c r="G8" s="359"/>
      <c r="H8" s="359"/>
      <c r="I8" s="359"/>
      <c r="J8" s="33"/>
      <c r="K8" s="359" t="s">
        <v>13</v>
      </c>
      <c r="L8" s="359"/>
      <c r="M8" s="359"/>
      <c r="N8" s="359"/>
      <c r="O8" s="33"/>
      <c r="P8" s="33"/>
      <c r="Q8" s="33"/>
    </row>
    <row r="9" spans="1:17" x14ac:dyDescent="0.2">
      <c r="A9" s="33"/>
      <c r="B9" s="33"/>
      <c r="C9" s="33"/>
      <c r="D9" s="33"/>
      <c r="E9" s="33"/>
      <c r="F9" s="360" t="s">
        <v>14</v>
      </c>
      <c r="G9" s="360"/>
      <c r="H9" s="360"/>
      <c r="I9" s="360"/>
      <c r="J9" s="33"/>
      <c r="K9" s="360" t="s">
        <v>18</v>
      </c>
      <c r="L9" s="360"/>
      <c r="M9" s="360"/>
      <c r="N9" s="360"/>
      <c r="O9" s="33"/>
      <c r="P9" s="33"/>
      <c r="Q9" s="33"/>
    </row>
    <row r="10" spans="1:17" x14ac:dyDescent="0.2">
      <c r="A10" s="33"/>
      <c r="B10" s="33"/>
      <c r="C10" s="33"/>
      <c r="D10" s="33"/>
      <c r="E10" s="33"/>
      <c r="F10" s="356" t="s">
        <v>19</v>
      </c>
      <c r="G10" s="356"/>
      <c r="H10" s="356"/>
      <c r="I10" s="356"/>
      <c r="J10" s="33"/>
      <c r="K10" s="356" t="s">
        <v>20</v>
      </c>
      <c r="L10" s="356"/>
      <c r="M10" s="356"/>
      <c r="N10" s="356"/>
      <c r="O10" s="33"/>
      <c r="P10" s="33"/>
      <c r="Q10" s="33"/>
    </row>
    <row r="11" spans="1:17" x14ac:dyDescent="0.2">
      <c r="A11" s="33"/>
      <c r="B11" s="33"/>
      <c r="C11" s="33"/>
      <c r="D11" s="33"/>
      <c r="E11" s="33"/>
      <c r="F11" s="356" t="s">
        <v>15</v>
      </c>
      <c r="G11" s="356"/>
      <c r="H11" s="356"/>
      <c r="I11" s="356"/>
      <c r="J11" s="33"/>
      <c r="K11" s="357" t="s">
        <v>16</v>
      </c>
      <c r="L11" s="357"/>
      <c r="M11" s="357"/>
      <c r="N11" s="357"/>
      <c r="O11" s="33"/>
      <c r="P11" s="33"/>
      <c r="Q11" s="33"/>
    </row>
    <row r="12" spans="1:17" x14ac:dyDescent="0.2">
      <c r="H12" s="98"/>
    </row>
  </sheetData>
  <mergeCells count="9">
    <mergeCell ref="F11:I11"/>
    <mergeCell ref="K11:N11"/>
    <mergeCell ref="L5:N5"/>
    <mergeCell ref="F8:I8"/>
    <mergeCell ref="K8:N8"/>
    <mergeCell ref="F9:I9"/>
    <mergeCell ref="K9:N9"/>
    <mergeCell ref="F10:I10"/>
    <mergeCell ref="K10:N10"/>
  </mergeCells>
  <dataValidations disablePrompts="1" count="1">
    <dataValidation allowBlank="1" showInputMessage="1" showErrorMessage="1" prompt="Ingrese el autor, si es más de un autor presione la tecla ALT + ENTER para ingresar el segundo y así sucesivamente " sqref="F5:H6" xr:uid="{266DA116-0ED6-449A-B318-D2578A48884A}"/>
  </dataValidations>
  <pageMargins left="0.7" right="0.7" top="0.75" bottom="0.75" header="0.3" footer="0.3"/>
  <pageSetup paperSize="258"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C61F-751C-4F00-B4F0-B7A060A23C37}">
  <sheetPr>
    <tabColor theme="6" tint="0.59999389629810485"/>
  </sheetPr>
  <dimension ref="A1:N22"/>
  <sheetViews>
    <sheetView view="pageLayout" topLeftCell="E1" zoomScale="85" zoomScaleNormal="100" zoomScalePageLayoutView="85" workbookViewId="0">
      <selection sqref="A1:XFD1"/>
    </sheetView>
  </sheetViews>
  <sheetFormatPr baseColWidth="10" defaultRowHeight="12.75" x14ac:dyDescent="0.2"/>
  <cols>
    <col min="1" max="1" width="6.7109375" style="98" customWidth="1"/>
    <col min="2" max="2" width="9.5703125" style="98" bestFit="1" customWidth="1"/>
    <col min="3" max="3" width="5.7109375" style="98" customWidth="1"/>
    <col min="4" max="4" width="13.7109375" style="98" bestFit="1" customWidth="1"/>
    <col min="5" max="5" width="25.7109375" style="98" customWidth="1"/>
    <col min="6" max="6" width="11" style="98" bestFit="1" customWidth="1"/>
    <col min="7" max="7" width="18.85546875" style="33" customWidth="1"/>
    <col min="8" max="8" width="23.28515625" style="33" customWidth="1"/>
    <col min="9" max="9" width="16.28515625" style="98" customWidth="1"/>
    <col min="10" max="10" width="12.28515625" style="98" customWidth="1"/>
    <col min="11" max="11" width="10.7109375" style="98" bestFit="1" customWidth="1"/>
    <col min="12" max="12" width="11" style="98" customWidth="1"/>
    <col min="13" max="13" width="11.42578125" style="98"/>
    <col min="14" max="14" width="16" style="98" customWidth="1"/>
    <col min="15" max="16384" width="11.42578125" style="98"/>
  </cols>
  <sheetData>
    <row r="1" spans="1:14" ht="38.25" x14ac:dyDescent="0.2">
      <c r="A1" s="36" t="s">
        <v>6</v>
      </c>
      <c r="B1" s="36" t="s">
        <v>1</v>
      </c>
      <c r="C1" s="36" t="s">
        <v>5</v>
      </c>
      <c r="D1" s="36" t="s">
        <v>65</v>
      </c>
      <c r="E1" s="189" t="s">
        <v>7</v>
      </c>
      <c r="F1" s="35" t="s">
        <v>66</v>
      </c>
      <c r="G1" s="190" t="s">
        <v>30</v>
      </c>
      <c r="H1" s="190" t="s">
        <v>2</v>
      </c>
      <c r="I1" s="35" t="s">
        <v>67</v>
      </c>
      <c r="J1" s="35" t="s">
        <v>68</v>
      </c>
      <c r="K1" s="35" t="s">
        <v>0</v>
      </c>
      <c r="L1" s="35" t="s">
        <v>69</v>
      </c>
      <c r="M1" s="35" t="s">
        <v>270</v>
      </c>
      <c r="N1" s="35" t="s">
        <v>28</v>
      </c>
    </row>
    <row r="2" spans="1:14" ht="25.5" x14ac:dyDescent="0.2">
      <c r="A2" s="236">
        <v>2026</v>
      </c>
      <c r="B2" s="236" t="s">
        <v>24</v>
      </c>
      <c r="C2" s="214">
        <v>1</v>
      </c>
      <c r="D2" s="238">
        <v>9728326</v>
      </c>
      <c r="E2" s="240" t="s">
        <v>593</v>
      </c>
      <c r="F2" s="234" t="s">
        <v>8</v>
      </c>
      <c r="G2" s="242" t="s">
        <v>64</v>
      </c>
      <c r="H2" s="224" t="s">
        <v>63</v>
      </c>
      <c r="I2" s="351" t="s">
        <v>857</v>
      </c>
      <c r="J2" s="199" t="s">
        <v>858</v>
      </c>
      <c r="K2" s="237" cm="1">
        <f t="array" ref="K2">_xlfn.IFS(L2="Asistente", 21, L2="Asociado", 16, L2="Titular", 22)</f>
        <v>16</v>
      </c>
      <c r="L2" s="198" t="s">
        <v>10</v>
      </c>
      <c r="M2" s="234" t="s">
        <v>861</v>
      </c>
      <c r="N2" s="235"/>
    </row>
    <row r="3" spans="1:14" ht="36" x14ac:dyDescent="0.2">
      <c r="A3" s="236">
        <v>2026</v>
      </c>
      <c r="B3" s="236" t="s">
        <v>24</v>
      </c>
      <c r="C3" s="277">
        <v>2</v>
      </c>
      <c r="D3" s="239">
        <v>16512197</v>
      </c>
      <c r="E3" s="241" t="s">
        <v>605</v>
      </c>
      <c r="F3" s="234" t="s">
        <v>8</v>
      </c>
      <c r="G3" s="243" t="s">
        <v>72</v>
      </c>
      <c r="H3" s="224" t="s">
        <v>27</v>
      </c>
      <c r="I3" s="351" t="s">
        <v>857</v>
      </c>
      <c r="J3" s="199" t="s">
        <v>858</v>
      </c>
      <c r="K3" s="237" cm="1">
        <f t="array" ref="K3">_xlfn.IFS(L3="Asistente", 21, L3="Asociado", 16, L3="Titular", 22)</f>
        <v>16</v>
      </c>
      <c r="L3" s="198" t="s">
        <v>10</v>
      </c>
      <c r="M3" s="352" t="s">
        <v>861</v>
      </c>
      <c r="N3" s="235"/>
    </row>
    <row r="4" spans="1:14" ht="36" x14ac:dyDescent="0.2">
      <c r="A4" s="236">
        <v>2026</v>
      </c>
      <c r="B4" s="236" t="s">
        <v>24</v>
      </c>
      <c r="C4" s="277">
        <v>3</v>
      </c>
      <c r="D4" s="239">
        <v>24582340</v>
      </c>
      <c r="E4" s="241" t="s">
        <v>606</v>
      </c>
      <c r="F4" s="234" t="s">
        <v>8</v>
      </c>
      <c r="G4" s="243" t="s">
        <v>72</v>
      </c>
      <c r="H4" s="224" t="s">
        <v>27</v>
      </c>
      <c r="I4" s="351" t="s">
        <v>857</v>
      </c>
      <c r="J4" s="199" t="s">
        <v>858</v>
      </c>
      <c r="K4" s="237" cm="1">
        <f t="array" ref="K4">_xlfn.IFS(L4="Asistente", 21, L4="Asociado", 16, L4="Titular", 22)</f>
        <v>16</v>
      </c>
      <c r="L4" s="198" t="s">
        <v>10</v>
      </c>
      <c r="M4" s="352" t="s">
        <v>861</v>
      </c>
      <c r="N4" s="235"/>
    </row>
    <row r="5" spans="1:14" ht="25.5" x14ac:dyDescent="0.2">
      <c r="A5" s="236">
        <v>2026</v>
      </c>
      <c r="B5" s="236" t="s">
        <v>24</v>
      </c>
      <c r="C5" s="277">
        <v>4</v>
      </c>
      <c r="D5" s="239">
        <v>88141692</v>
      </c>
      <c r="E5" s="241" t="s">
        <v>607</v>
      </c>
      <c r="F5" s="234" t="s">
        <v>8</v>
      </c>
      <c r="G5" s="243" t="s">
        <v>77</v>
      </c>
      <c r="H5" s="224" t="s">
        <v>27</v>
      </c>
      <c r="I5" s="351" t="s">
        <v>857</v>
      </c>
      <c r="J5" s="199" t="s">
        <v>858</v>
      </c>
      <c r="K5" s="237" cm="1">
        <f t="array" ref="K5">_xlfn.IFS(L5="Asistente", 21, L5="Asociado", 16, L5="Titular", 22)</f>
        <v>16</v>
      </c>
      <c r="L5" s="198" t="s">
        <v>10</v>
      </c>
      <c r="M5" s="352" t="s">
        <v>861</v>
      </c>
      <c r="N5" s="235"/>
    </row>
    <row r="6" spans="1:14" ht="25.5" x14ac:dyDescent="0.2">
      <c r="A6" s="236">
        <v>2026</v>
      </c>
      <c r="B6" s="236" t="s">
        <v>24</v>
      </c>
      <c r="C6" s="277">
        <v>5</v>
      </c>
      <c r="D6" s="239">
        <v>9730805</v>
      </c>
      <c r="E6" s="241" t="s">
        <v>608</v>
      </c>
      <c r="F6" s="234" t="s">
        <v>8</v>
      </c>
      <c r="G6" s="243" t="s">
        <v>71</v>
      </c>
      <c r="H6" s="224" t="s">
        <v>27</v>
      </c>
      <c r="I6" s="351" t="s">
        <v>857</v>
      </c>
      <c r="J6" s="199" t="s">
        <v>858</v>
      </c>
      <c r="K6" s="237" cm="1">
        <f t="array" ref="K6">_xlfn.IFS(L6="Asistente", 21, L6="Asociado", 16, L6="Titular", 22)</f>
        <v>16</v>
      </c>
      <c r="L6" s="198" t="s">
        <v>10</v>
      </c>
      <c r="M6" s="352" t="s">
        <v>861</v>
      </c>
      <c r="N6" s="235"/>
    </row>
    <row r="7" spans="1:14" ht="25.5" x14ac:dyDescent="0.2">
      <c r="A7" s="236">
        <v>2026</v>
      </c>
      <c r="B7" s="236" t="s">
        <v>24</v>
      </c>
      <c r="C7" s="277">
        <v>6</v>
      </c>
      <c r="D7" s="239">
        <v>18470142</v>
      </c>
      <c r="E7" s="241" t="s">
        <v>609</v>
      </c>
      <c r="F7" s="234" t="s">
        <v>8</v>
      </c>
      <c r="G7" s="243" t="s">
        <v>77</v>
      </c>
      <c r="H7" s="224" t="s">
        <v>27</v>
      </c>
      <c r="I7" s="351" t="s">
        <v>857</v>
      </c>
      <c r="J7" s="199" t="s">
        <v>858</v>
      </c>
      <c r="K7" s="237" cm="1">
        <f t="array" ref="K7">_xlfn.IFS(L7="Asistente", 21, L7="Asociado", 16, L7="Titular", 22)</f>
        <v>16</v>
      </c>
      <c r="L7" s="198" t="s">
        <v>10</v>
      </c>
      <c r="M7" s="352" t="s">
        <v>861</v>
      </c>
      <c r="N7" s="235"/>
    </row>
    <row r="8" spans="1:14" ht="36" x14ac:dyDescent="0.2">
      <c r="A8" s="236">
        <v>2026</v>
      </c>
      <c r="B8" s="236" t="s">
        <v>24</v>
      </c>
      <c r="C8" s="277">
        <v>7</v>
      </c>
      <c r="D8" s="239">
        <v>18493676</v>
      </c>
      <c r="E8" s="241" t="s">
        <v>591</v>
      </c>
      <c r="F8" s="234" t="s">
        <v>8</v>
      </c>
      <c r="G8" s="243" t="s">
        <v>72</v>
      </c>
      <c r="H8" s="224" t="s">
        <v>27</v>
      </c>
      <c r="I8" s="351" t="s">
        <v>857</v>
      </c>
      <c r="J8" s="199" t="s">
        <v>858</v>
      </c>
      <c r="K8" s="237" cm="1">
        <f t="array" ref="K8">_xlfn.IFS(L8="Asistente", 21, L8="Asociado", 16, L8="Titular", 22)</f>
        <v>16</v>
      </c>
      <c r="L8" s="198" t="s">
        <v>10</v>
      </c>
      <c r="M8" s="352" t="s">
        <v>861</v>
      </c>
      <c r="N8" s="235"/>
    </row>
    <row r="9" spans="1:14" ht="25.5" x14ac:dyDescent="0.2">
      <c r="A9" s="236">
        <v>2026</v>
      </c>
      <c r="B9" s="236" t="s">
        <v>24</v>
      </c>
      <c r="C9" s="277">
        <v>8</v>
      </c>
      <c r="D9" s="244">
        <v>41935619</v>
      </c>
      <c r="E9" s="245" t="s">
        <v>610</v>
      </c>
      <c r="F9" s="234" t="s">
        <v>8</v>
      </c>
      <c r="G9" s="243" t="s">
        <v>70</v>
      </c>
      <c r="H9" s="224" t="s">
        <v>56</v>
      </c>
      <c r="I9" s="351" t="s">
        <v>857</v>
      </c>
      <c r="J9" s="199" t="s">
        <v>858</v>
      </c>
      <c r="K9" s="237" cm="1">
        <f t="array" ref="K9">_xlfn.IFS(L9="Asistente", 21, L9="Asociado", 16, L9="Titular", 22)</f>
        <v>16</v>
      </c>
      <c r="L9" s="198" t="s">
        <v>10</v>
      </c>
      <c r="M9" s="352" t="s">
        <v>861</v>
      </c>
      <c r="N9" s="235"/>
    </row>
    <row r="10" spans="1:14" ht="25.5" x14ac:dyDescent="0.2">
      <c r="A10" s="214">
        <v>2026</v>
      </c>
      <c r="B10" s="236" t="s">
        <v>24</v>
      </c>
      <c r="C10" s="277">
        <v>9</v>
      </c>
      <c r="D10" s="239">
        <v>89004182</v>
      </c>
      <c r="E10" s="241" t="s">
        <v>259</v>
      </c>
      <c r="F10" s="198" t="s">
        <v>8</v>
      </c>
      <c r="G10" s="243" t="s">
        <v>108</v>
      </c>
      <c r="H10" s="224" t="s">
        <v>25</v>
      </c>
      <c r="I10" s="351" t="s">
        <v>857</v>
      </c>
      <c r="J10" s="199" t="s">
        <v>858</v>
      </c>
      <c r="K10" s="224" cm="1">
        <f t="array" ref="K10">_xlfn.IFS(L10="Asistente", 21, L10="Asociado", 16, L10="Titular", 22)</f>
        <v>16</v>
      </c>
      <c r="L10" s="198" t="s">
        <v>10</v>
      </c>
      <c r="M10" s="352" t="s">
        <v>861</v>
      </c>
      <c r="N10" s="235"/>
    </row>
    <row r="11" spans="1:14" ht="25.5" x14ac:dyDescent="0.2">
      <c r="A11" s="214">
        <v>2026</v>
      </c>
      <c r="B11" s="236" t="s">
        <v>24</v>
      </c>
      <c r="C11" s="277">
        <v>10</v>
      </c>
      <c r="D11" s="239">
        <v>1094890604</v>
      </c>
      <c r="E11" s="241" t="s">
        <v>720</v>
      </c>
      <c r="F11" s="198" t="s">
        <v>8</v>
      </c>
      <c r="G11" s="243" t="s">
        <v>55</v>
      </c>
      <c r="H11" s="224" t="s">
        <v>56</v>
      </c>
      <c r="I11" s="351" t="s">
        <v>857</v>
      </c>
      <c r="J11" s="199" t="s">
        <v>858</v>
      </c>
      <c r="K11" s="224" cm="1">
        <f t="array" ref="K11">_xlfn.IFS(L11="Asistente", 21, L11="Asociado", 16, L11="Titular", 22)</f>
        <v>16</v>
      </c>
      <c r="L11" s="198" t="s">
        <v>10</v>
      </c>
      <c r="M11" s="352" t="s">
        <v>861</v>
      </c>
      <c r="N11" s="235"/>
    </row>
    <row r="12" spans="1:14" ht="25.5" x14ac:dyDescent="0.2">
      <c r="A12" s="214">
        <v>2026</v>
      </c>
      <c r="B12" s="236" t="s">
        <v>24</v>
      </c>
      <c r="C12" s="277">
        <v>11</v>
      </c>
      <c r="D12" s="239">
        <v>89005354</v>
      </c>
      <c r="E12" s="241" t="s">
        <v>719</v>
      </c>
      <c r="F12" s="198" t="s">
        <v>8</v>
      </c>
      <c r="G12" s="243" t="s">
        <v>709</v>
      </c>
      <c r="H12" s="224" t="s">
        <v>23</v>
      </c>
      <c r="I12" s="351" t="s">
        <v>857</v>
      </c>
      <c r="J12" s="199" t="s">
        <v>858</v>
      </c>
      <c r="K12" s="224" cm="1">
        <f t="array" ref="K12">_xlfn.IFS(L12="Asistente", 21, L12="Asociado", 16, L12="Titular", 22)</f>
        <v>22</v>
      </c>
      <c r="L12" s="198" t="s">
        <v>11</v>
      </c>
      <c r="M12" s="352" t="s">
        <v>861</v>
      </c>
      <c r="N12" s="235"/>
    </row>
    <row r="13" spans="1:14" ht="25.5" x14ac:dyDescent="0.2">
      <c r="A13" s="214">
        <v>2026</v>
      </c>
      <c r="B13" s="236" t="s">
        <v>24</v>
      </c>
      <c r="C13" s="277">
        <v>12</v>
      </c>
      <c r="D13" s="239">
        <v>41942473</v>
      </c>
      <c r="E13" s="241" t="s">
        <v>718</v>
      </c>
      <c r="F13" s="198" t="s">
        <v>8</v>
      </c>
      <c r="G13" s="243" t="s">
        <v>709</v>
      </c>
      <c r="H13" s="224" t="s">
        <v>23</v>
      </c>
      <c r="I13" s="351" t="s">
        <v>857</v>
      </c>
      <c r="J13" s="199" t="s">
        <v>858</v>
      </c>
      <c r="K13" s="224" cm="1">
        <f t="array" ref="K13">_xlfn.IFS(L13="Asistente", 21, L13="Asociado", 16, L13="Titular", 22)</f>
        <v>22</v>
      </c>
      <c r="L13" s="198" t="s">
        <v>11</v>
      </c>
      <c r="M13" s="352" t="s">
        <v>861</v>
      </c>
      <c r="N13" s="235"/>
    </row>
    <row r="14" spans="1:14" ht="25.5" x14ac:dyDescent="0.2">
      <c r="A14" s="214">
        <v>2026</v>
      </c>
      <c r="B14" s="277" t="s">
        <v>24</v>
      </c>
      <c r="C14" s="277">
        <v>13</v>
      </c>
      <c r="D14" s="239">
        <v>18397252</v>
      </c>
      <c r="E14" s="241" t="s">
        <v>717</v>
      </c>
      <c r="F14" s="198" t="s">
        <v>8</v>
      </c>
      <c r="G14" s="243" t="s">
        <v>709</v>
      </c>
      <c r="H14" s="224" t="s">
        <v>23</v>
      </c>
      <c r="I14" s="351" t="s">
        <v>857</v>
      </c>
      <c r="J14" s="199" t="s">
        <v>858</v>
      </c>
      <c r="K14" s="224" cm="1">
        <f t="array" ref="K14">_xlfn.IFS(L14="Asistente", 21, L14="Asociado", 16, L14="Titular", 22)</f>
        <v>22</v>
      </c>
      <c r="L14" s="198" t="s">
        <v>11</v>
      </c>
      <c r="M14" s="352" t="s">
        <v>861</v>
      </c>
      <c r="N14" s="235"/>
    </row>
    <row r="15" spans="1:14" x14ac:dyDescent="0.2">
      <c r="A15" s="191"/>
      <c r="B15" s="191"/>
      <c r="C15" s="191"/>
      <c r="D15" s="192"/>
      <c r="E15" s="193"/>
      <c r="F15" s="194"/>
      <c r="G15" s="194"/>
      <c r="H15" s="194"/>
      <c r="I15" s="195"/>
      <c r="J15" s="43"/>
      <c r="K15" s="196"/>
      <c r="L15" s="194"/>
      <c r="M15" s="194"/>
      <c r="N15" s="197"/>
    </row>
    <row r="16" spans="1:14" ht="15" customHeight="1" x14ac:dyDescent="0.2">
      <c r="A16" s="31"/>
      <c r="C16" s="31"/>
      <c r="D16" s="175"/>
      <c r="H16" s="358" t="s">
        <v>75</v>
      </c>
      <c r="I16" s="358"/>
      <c r="J16" s="358"/>
      <c r="K16" s="187">
        <f>SUM(K2:K15)</f>
        <v>226</v>
      </c>
    </row>
    <row r="17" spans="1:12" ht="15" customHeight="1" x14ac:dyDescent="0.2">
      <c r="A17" s="31"/>
      <c r="C17" s="31"/>
      <c r="D17" s="175"/>
    </row>
    <row r="18" spans="1:12" ht="15" customHeight="1" x14ac:dyDescent="0.2">
      <c r="A18" s="33"/>
      <c r="B18" s="33"/>
      <c r="C18" s="359"/>
      <c r="D18" s="359"/>
      <c r="E18" s="359"/>
      <c r="F18" s="359"/>
      <c r="G18" s="359"/>
      <c r="H18" s="359"/>
      <c r="I18" s="359"/>
      <c r="J18" s="359"/>
      <c r="K18" s="359"/>
      <c r="L18" s="33"/>
    </row>
    <row r="19" spans="1:12" ht="15" customHeight="1" x14ac:dyDescent="0.2">
      <c r="B19" s="33"/>
      <c r="C19" s="359" t="s">
        <v>12</v>
      </c>
      <c r="D19" s="359"/>
      <c r="E19" s="359"/>
      <c r="F19" s="359"/>
      <c r="I19" s="359" t="s">
        <v>13</v>
      </c>
      <c r="J19" s="359"/>
      <c r="K19" s="359"/>
      <c r="L19" s="359"/>
    </row>
    <row r="20" spans="1:12" x14ac:dyDescent="0.2">
      <c r="B20" s="33"/>
      <c r="C20" s="360" t="s">
        <v>14</v>
      </c>
      <c r="D20" s="360"/>
      <c r="E20" s="360"/>
      <c r="F20" s="360"/>
      <c r="I20" s="360" t="s">
        <v>18</v>
      </c>
      <c r="J20" s="360"/>
      <c r="K20" s="360"/>
      <c r="L20" s="360"/>
    </row>
    <row r="21" spans="1:12" x14ac:dyDescent="0.2">
      <c r="B21" s="33"/>
      <c r="C21" s="356" t="s">
        <v>19</v>
      </c>
      <c r="D21" s="356"/>
      <c r="E21" s="356"/>
      <c r="F21" s="356"/>
      <c r="I21" s="356" t="s">
        <v>20</v>
      </c>
      <c r="J21" s="356"/>
      <c r="K21" s="356"/>
      <c r="L21" s="356"/>
    </row>
    <row r="22" spans="1:12" x14ac:dyDescent="0.2">
      <c r="B22" s="188"/>
      <c r="C22" s="356" t="s">
        <v>15</v>
      </c>
      <c r="D22" s="356"/>
      <c r="E22" s="356"/>
      <c r="F22" s="356"/>
      <c r="I22" s="357" t="s">
        <v>16</v>
      </c>
      <c r="J22" s="357"/>
      <c r="K22" s="357"/>
      <c r="L22" s="357"/>
    </row>
  </sheetData>
  <mergeCells count="11">
    <mergeCell ref="C20:F20"/>
    <mergeCell ref="I20:L20"/>
    <mergeCell ref="C21:F21"/>
    <mergeCell ref="I21:L21"/>
    <mergeCell ref="C22:F22"/>
    <mergeCell ref="I22:L22"/>
    <mergeCell ref="C18:F18"/>
    <mergeCell ref="G18:K18"/>
    <mergeCell ref="C19:F19"/>
    <mergeCell ref="I19:L19"/>
    <mergeCell ref="H16:J16"/>
  </mergeCells>
  <phoneticPr fontId="18" type="noConversion"/>
  <printOptions horizontalCentered="1"/>
  <pageMargins left="0.70866141732283472" right="0.70866141732283472" top="0.74803149606299213" bottom="0.74803149606299213" header="0.31496062992125984" footer="0.31496062992125984"/>
  <pageSetup paperSize="258"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E025-A6B7-4759-B155-6F0432A7F17E}">
  <sheetPr>
    <tabColor theme="6" tint="0.59999389629810485"/>
  </sheetPr>
  <dimension ref="A1:AA37"/>
  <sheetViews>
    <sheetView zoomScale="90" zoomScaleNormal="90" zoomScalePageLayoutView="70" workbookViewId="0">
      <selection sqref="A1:XFD1"/>
    </sheetView>
  </sheetViews>
  <sheetFormatPr baseColWidth="10" defaultRowHeight="15" x14ac:dyDescent="0.25"/>
  <cols>
    <col min="1" max="2" width="6.5703125" customWidth="1"/>
    <col min="3" max="3" width="5.7109375" customWidth="1"/>
    <col min="4" max="4" width="19.140625" customWidth="1"/>
    <col min="5" max="5" width="10.85546875" style="11" customWidth="1"/>
    <col min="6" max="6" width="9.140625" style="11" bestFit="1" customWidth="1"/>
    <col min="7" max="7" width="9.28515625" style="11" bestFit="1" customWidth="1"/>
    <col min="8" max="8" width="9.7109375" style="11" customWidth="1"/>
    <col min="9" max="9" width="12.42578125" bestFit="1" customWidth="1"/>
    <col min="10" max="10" width="12" customWidth="1"/>
    <col min="11" max="11" width="10.28515625" style="11" customWidth="1"/>
    <col min="12" max="12" width="9.42578125" style="11" customWidth="1"/>
    <col min="13" max="13" width="11" customWidth="1"/>
    <col min="14" max="14" width="9.28515625" customWidth="1"/>
    <col min="15" max="15" width="9.85546875" bestFit="1" customWidth="1"/>
    <col min="16" max="16" width="10.28515625" bestFit="1" customWidth="1"/>
    <col min="18" max="18" width="15.42578125" customWidth="1"/>
    <col min="19" max="19" width="9.85546875" customWidth="1"/>
    <col min="21" max="21" width="7.42578125" customWidth="1"/>
    <col min="23" max="23" width="11" customWidth="1"/>
    <col min="24" max="24" width="8.5703125" customWidth="1"/>
    <col min="25" max="25" width="14.7109375" customWidth="1"/>
    <col min="27" max="27" width="19.85546875" customWidth="1"/>
  </cols>
  <sheetData>
    <row r="1" spans="1:27" s="14" customFormat="1" ht="52.5" customHeight="1" x14ac:dyDescent="0.2">
      <c r="A1" s="12" t="s">
        <v>6</v>
      </c>
      <c r="B1" s="12" t="s">
        <v>1</v>
      </c>
      <c r="C1" s="13" t="s">
        <v>5</v>
      </c>
      <c r="D1" s="13" t="s">
        <v>31</v>
      </c>
      <c r="E1" s="13" t="s">
        <v>32</v>
      </c>
      <c r="F1" s="13" t="s">
        <v>33</v>
      </c>
      <c r="G1" s="13" t="s">
        <v>34</v>
      </c>
      <c r="H1" s="13" t="s">
        <v>35</v>
      </c>
      <c r="I1" s="13" t="s">
        <v>36</v>
      </c>
      <c r="J1" s="13" t="s">
        <v>37</v>
      </c>
      <c r="K1" s="13" t="s">
        <v>38</v>
      </c>
      <c r="L1" s="13" t="s">
        <v>204</v>
      </c>
      <c r="M1" s="13" t="s">
        <v>39</v>
      </c>
      <c r="N1" s="361" t="s">
        <v>40</v>
      </c>
      <c r="O1" s="362"/>
      <c r="P1" s="363"/>
      <c r="Q1" s="13" t="s">
        <v>41</v>
      </c>
      <c r="R1" s="13" t="s">
        <v>42</v>
      </c>
      <c r="S1" s="13" t="s">
        <v>4</v>
      </c>
      <c r="T1" s="13" t="s">
        <v>43</v>
      </c>
      <c r="U1" s="13" t="s">
        <v>3</v>
      </c>
      <c r="V1" s="13" t="s">
        <v>30</v>
      </c>
      <c r="W1" s="13" t="s">
        <v>2</v>
      </c>
      <c r="X1" s="13" t="s">
        <v>44</v>
      </c>
      <c r="Y1" s="13" t="s">
        <v>45</v>
      </c>
      <c r="Z1" s="13" t="s">
        <v>270</v>
      </c>
      <c r="AA1" s="13" t="s">
        <v>29</v>
      </c>
    </row>
    <row r="2" spans="1:27" s="14" customFormat="1" ht="12.75" x14ac:dyDescent="0.2">
      <c r="A2" s="15"/>
      <c r="B2" s="15"/>
      <c r="C2" s="16"/>
      <c r="D2" s="16"/>
      <c r="E2" s="16"/>
      <c r="F2" s="16"/>
      <c r="G2" s="16"/>
      <c r="H2" s="16"/>
      <c r="I2" s="16"/>
      <c r="J2" s="16"/>
      <c r="K2" s="16"/>
      <c r="L2" s="16"/>
      <c r="M2" s="16"/>
      <c r="N2" s="17" t="s">
        <v>46</v>
      </c>
      <c r="O2" s="17" t="s">
        <v>47</v>
      </c>
      <c r="P2" s="17" t="s">
        <v>48</v>
      </c>
      <c r="Q2" s="16"/>
      <c r="R2" s="16"/>
      <c r="S2" s="16"/>
      <c r="T2" s="16"/>
      <c r="U2" s="16"/>
      <c r="V2" s="16"/>
      <c r="W2" s="16"/>
      <c r="X2" s="16"/>
      <c r="Y2" s="16"/>
      <c r="Z2" s="16"/>
      <c r="AA2" s="18"/>
    </row>
    <row r="3" spans="1:27" s="98" customFormat="1" ht="89.25" x14ac:dyDescent="0.2">
      <c r="A3" s="120">
        <v>2026</v>
      </c>
      <c r="B3" s="120" t="s">
        <v>24</v>
      </c>
      <c r="C3" s="120">
        <v>1</v>
      </c>
      <c r="D3" s="260" t="s">
        <v>621</v>
      </c>
      <c r="E3" s="124" t="s">
        <v>49</v>
      </c>
      <c r="F3" s="124" t="s">
        <v>301</v>
      </c>
      <c r="G3" s="124" t="s">
        <v>302</v>
      </c>
      <c r="H3" s="120" t="s">
        <v>625</v>
      </c>
      <c r="I3" s="124" t="s">
        <v>624</v>
      </c>
      <c r="J3" s="261" t="s">
        <v>626</v>
      </c>
      <c r="K3" s="262" t="s">
        <v>306</v>
      </c>
      <c r="L3" s="262">
        <v>3</v>
      </c>
      <c r="M3" s="124" t="s">
        <v>595</v>
      </c>
      <c r="N3" s="128">
        <v>45734</v>
      </c>
      <c r="O3" s="128">
        <v>45862</v>
      </c>
      <c r="P3" s="128">
        <v>45987</v>
      </c>
      <c r="Q3" s="263">
        <v>41934400</v>
      </c>
      <c r="R3" s="262" t="s">
        <v>627</v>
      </c>
      <c r="S3" s="120" t="s">
        <v>21</v>
      </c>
      <c r="T3" s="120" t="s">
        <v>10</v>
      </c>
      <c r="U3" s="226" t="s">
        <v>8</v>
      </c>
      <c r="V3" s="226" t="s">
        <v>54</v>
      </c>
      <c r="W3" s="227" t="s">
        <v>25</v>
      </c>
      <c r="X3" s="264">
        <f>IF(OR(K3="", L3=""), "", IF(K3="A1", 15, IF(K3="A2", 12, IF(K3="B", 8, IF(K3="C", 3, 0)))) / IF(L3&lt;=3, 1, IF(L3&lt;=5, 2, L3/2)))</f>
        <v>3</v>
      </c>
      <c r="Y3" s="265" t="s">
        <v>9</v>
      </c>
      <c r="Z3" s="353" t="s">
        <v>861</v>
      </c>
      <c r="AA3" s="124" t="s">
        <v>818</v>
      </c>
    </row>
    <row r="4" spans="1:27" s="98" customFormat="1" ht="25.5" x14ac:dyDescent="0.2">
      <c r="A4" s="229">
        <v>2026</v>
      </c>
      <c r="B4" s="229" t="s">
        <v>24</v>
      </c>
      <c r="C4" s="229">
        <v>1</v>
      </c>
      <c r="D4" s="220"/>
      <c r="E4" s="212"/>
      <c r="F4" s="212"/>
      <c r="G4" s="212"/>
      <c r="H4" s="229"/>
      <c r="I4" s="212"/>
      <c r="J4" s="215"/>
      <c r="K4" s="230"/>
      <c r="L4" s="230"/>
      <c r="M4" s="212"/>
      <c r="N4" s="231"/>
      <c r="O4" s="231"/>
      <c r="P4" s="231"/>
      <c r="Q4" s="214"/>
      <c r="R4" s="212" t="s">
        <v>622</v>
      </c>
      <c r="S4" s="198"/>
      <c r="T4" s="198"/>
      <c r="U4" s="198"/>
      <c r="V4" s="198"/>
      <c r="W4" s="224"/>
      <c r="X4" s="88"/>
      <c r="Y4" s="232" t="s">
        <v>9</v>
      </c>
      <c r="Z4" s="198"/>
      <c r="AA4" s="212"/>
    </row>
    <row r="5" spans="1:27" s="98" customFormat="1" ht="25.5" x14ac:dyDescent="0.2">
      <c r="A5" s="229">
        <v>2026</v>
      </c>
      <c r="B5" s="229" t="s">
        <v>24</v>
      </c>
      <c r="C5" s="229">
        <v>1</v>
      </c>
      <c r="D5" s="220"/>
      <c r="E5" s="212"/>
      <c r="F5" s="212"/>
      <c r="G5" s="212"/>
      <c r="H5" s="229"/>
      <c r="I5" s="212"/>
      <c r="J5" s="215"/>
      <c r="K5" s="230"/>
      <c r="L5" s="230"/>
      <c r="M5" s="212"/>
      <c r="N5" s="231"/>
      <c r="O5" s="231"/>
      <c r="P5" s="231"/>
      <c r="Q5" s="214"/>
      <c r="R5" s="212" t="s">
        <v>623</v>
      </c>
      <c r="S5" s="198"/>
      <c r="T5" s="198"/>
      <c r="U5" s="198"/>
      <c r="V5" s="198"/>
      <c r="W5" s="224"/>
      <c r="X5" s="88"/>
      <c r="Y5" s="232" t="s">
        <v>9</v>
      </c>
      <c r="Z5" s="198"/>
      <c r="AA5" s="212"/>
    </row>
    <row r="6" spans="1:27" s="98" customFormat="1" ht="76.5" x14ac:dyDescent="0.2">
      <c r="A6" s="229">
        <v>2026</v>
      </c>
      <c r="B6" s="229" t="s">
        <v>24</v>
      </c>
      <c r="C6" s="229">
        <v>2</v>
      </c>
      <c r="D6" s="233" t="s">
        <v>628</v>
      </c>
      <c r="E6" s="212" t="s">
        <v>49</v>
      </c>
      <c r="F6" s="212" t="s">
        <v>301</v>
      </c>
      <c r="G6" s="212" t="s">
        <v>302</v>
      </c>
      <c r="H6" s="229" t="s">
        <v>629</v>
      </c>
      <c r="I6" s="212" t="s">
        <v>630</v>
      </c>
      <c r="J6" s="215" t="s">
        <v>631</v>
      </c>
      <c r="K6" s="230" t="s">
        <v>209</v>
      </c>
      <c r="L6" s="230">
        <v>3</v>
      </c>
      <c r="M6" s="212" t="s">
        <v>632</v>
      </c>
      <c r="N6" s="231">
        <v>45531</v>
      </c>
      <c r="O6" s="231">
        <v>45636</v>
      </c>
      <c r="P6" s="231">
        <v>45658</v>
      </c>
      <c r="Q6" s="214">
        <v>16356361</v>
      </c>
      <c r="R6" s="230" t="s">
        <v>242</v>
      </c>
      <c r="S6" s="198" t="s">
        <v>21</v>
      </c>
      <c r="T6" s="198" t="s">
        <v>11</v>
      </c>
      <c r="U6" s="198" t="s">
        <v>8</v>
      </c>
      <c r="V6" s="198" t="s">
        <v>243</v>
      </c>
      <c r="W6" s="224" t="s">
        <v>56</v>
      </c>
      <c r="X6" s="88">
        <f>IF(OR(K6="", L6=""), "", IF(K6="A1", 15, IF(K6="A2", 12, IF(K6="B", 8, IF(K6="C", 3, 0)))) / IF(L6&lt;=3, 1, IF(L6&lt;=5, 2, L6/2)))</f>
        <v>8</v>
      </c>
      <c r="Y6" s="232" t="s">
        <v>9</v>
      </c>
      <c r="Z6" s="234" t="s">
        <v>861</v>
      </c>
      <c r="AA6" s="212"/>
    </row>
    <row r="7" spans="1:27" s="98" customFormat="1" ht="25.5" x14ac:dyDescent="0.2">
      <c r="A7" s="229">
        <v>2026</v>
      </c>
      <c r="B7" s="229" t="s">
        <v>24</v>
      </c>
      <c r="C7" s="229">
        <v>2</v>
      </c>
      <c r="D7" s="233"/>
      <c r="E7" s="212"/>
      <c r="F7" s="212"/>
      <c r="G7" s="212"/>
      <c r="H7" s="229"/>
      <c r="I7" s="212"/>
      <c r="J7" s="215"/>
      <c r="K7" s="230"/>
      <c r="L7" s="230"/>
      <c r="M7" s="212"/>
      <c r="N7" s="231"/>
      <c r="O7" s="231"/>
      <c r="P7" s="231"/>
      <c r="Q7" s="214"/>
      <c r="R7" s="212" t="s">
        <v>635</v>
      </c>
      <c r="S7" s="198"/>
      <c r="T7" s="198"/>
      <c r="U7" s="198"/>
      <c r="V7" s="198"/>
      <c r="W7" s="224"/>
      <c r="X7" s="88"/>
      <c r="Y7" s="232" t="s">
        <v>633</v>
      </c>
      <c r="Z7" s="352"/>
      <c r="AA7" s="212"/>
    </row>
    <row r="8" spans="1:27" s="98" customFormat="1" ht="25.5" x14ac:dyDescent="0.2">
      <c r="A8" s="229">
        <v>2026</v>
      </c>
      <c r="B8" s="229" t="s">
        <v>24</v>
      </c>
      <c r="C8" s="229">
        <v>2</v>
      </c>
      <c r="D8" s="233"/>
      <c r="E8" s="212"/>
      <c r="F8" s="212"/>
      <c r="G8" s="212"/>
      <c r="H8" s="229"/>
      <c r="I8" s="212"/>
      <c r="J8" s="215"/>
      <c r="K8" s="230"/>
      <c r="L8" s="230"/>
      <c r="M8" s="212"/>
      <c r="N8" s="231"/>
      <c r="O8" s="231"/>
      <c r="P8" s="231"/>
      <c r="Q8" s="214"/>
      <c r="R8" s="212" t="s">
        <v>636</v>
      </c>
      <c r="S8" s="198"/>
      <c r="T8" s="198"/>
      <c r="U8" s="198"/>
      <c r="V8" s="198"/>
      <c r="W8" s="224"/>
      <c r="X8" s="88"/>
      <c r="Y8" s="232" t="s">
        <v>634</v>
      </c>
      <c r="Z8" s="352"/>
      <c r="AA8" s="212"/>
    </row>
    <row r="9" spans="1:27" s="98" customFormat="1" ht="76.5" x14ac:dyDescent="0.2">
      <c r="A9" s="229">
        <v>2026</v>
      </c>
      <c r="B9" s="229" t="s">
        <v>24</v>
      </c>
      <c r="C9" s="229">
        <v>3</v>
      </c>
      <c r="D9" s="233" t="s">
        <v>707</v>
      </c>
      <c r="E9" s="212" t="s">
        <v>49</v>
      </c>
      <c r="F9" s="212" t="s">
        <v>301</v>
      </c>
      <c r="G9" s="212" t="s">
        <v>302</v>
      </c>
      <c r="H9" s="229" t="s">
        <v>711</v>
      </c>
      <c r="I9" s="212" t="s">
        <v>710</v>
      </c>
      <c r="J9" s="215" t="s">
        <v>712</v>
      </c>
      <c r="K9" s="230" t="s">
        <v>306</v>
      </c>
      <c r="L9" s="230">
        <v>2</v>
      </c>
      <c r="M9" s="212" t="s">
        <v>713</v>
      </c>
      <c r="N9" s="231">
        <v>45764</v>
      </c>
      <c r="O9" s="231">
        <v>45811</v>
      </c>
      <c r="P9" s="231">
        <v>45853</v>
      </c>
      <c r="Q9" s="214">
        <v>14231147</v>
      </c>
      <c r="R9" s="230" t="s">
        <v>708</v>
      </c>
      <c r="S9" s="198" t="s">
        <v>21</v>
      </c>
      <c r="T9" s="198" t="s">
        <v>11</v>
      </c>
      <c r="U9" s="198" t="s">
        <v>8</v>
      </c>
      <c r="V9" s="198" t="s">
        <v>709</v>
      </c>
      <c r="W9" s="224" t="s">
        <v>23</v>
      </c>
      <c r="X9" s="88">
        <f>IF(OR(K9="", L9=""), "", IF(K9="A1", 15, IF(K9="A2", 12, IF(K9="B", 8, IF(K9="C", 3, 0)))) / IF(L9&lt;=3, 1, IF(L9&lt;=5, 2, L9/2)))</f>
        <v>3</v>
      </c>
      <c r="Y9" s="232" t="s">
        <v>9</v>
      </c>
      <c r="Z9" s="234" t="s">
        <v>861</v>
      </c>
      <c r="AA9" s="212"/>
    </row>
    <row r="10" spans="1:27" s="98" customFormat="1" ht="25.5" x14ac:dyDescent="0.2">
      <c r="A10" s="229"/>
      <c r="B10" s="229"/>
      <c r="C10" s="229">
        <v>3</v>
      </c>
      <c r="D10" s="233"/>
      <c r="E10" s="212"/>
      <c r="F10" s="212"/>
      <c r="G10" s="212"/>
      <c r="H10" s="229"/>
      <c r="I10" s="212"/>
      <c r="J10" s="215"/>
      <c r="K10" s="230"/>
      <c r="L10" s="230"/>
      <c r="M10" s="212"/>
      <c r="N10" s="231"/>
      <c r="O10" s="231"/>
      <c r="P10" s="231"/>
      <c r="Q10" s="214"/>
      <c r="R10" s="212" t="s">
        <v>762</v>
      </c>
      <c r="S10" s="198"/>
      <c r="T10" s="198"/>
      <c r="U10" s="198"/>
      <c r="V10" s="198"/>
      <c r="W10" s="224"/>
      <c r="X10" s="88" t="str">
        <f t="shared" ref="X10:X11" si="0">IF(OR(K10="", L10=""), "", IF(K10="A1", 15, IF(K10="A2", 12, IF(K10="B", 8, IF(K10="C", 3, 0)))) / IF(L10&lt;=3, 1, IF(L10&lt;=5, 2, L10/2)))</f>
        <v/>
      </c>
      <c r="Y10" s="232" t="s">
        <v>714</v>
      </c>
      <c r="Z10" s="234"/>
      <c r="AA10" s="212"/>
    </row>
    <row r="11" spans="1:27" s="98" customFormat="1" ht="76.5" x14ac:dyDescent="0.2">
      <c r="A11" s="229">
        <v>2026</v>
      </c>
      <c r="B11" s="229" t="s">
        <v>24</v>
      </c>
      <c r="C11" s="229">
        <v>4</v>
      </c>
      <c r="D11" s="233" t="s">
        <v>755</v>
      </c>
      <c r="E11" s="212" t="s">
        <v>49</v>
      </c>
      <c r="F11" s="212" t="s">
        <v>303</v>
      </c>
      <c r="G11" s="212" t="s">
        <v>302</v>
      </c>
      <c r="H11" s="229" t="s">
        <v>756</v>
      </c>
      <c r="I11" s="212" t="s">
        <v>757</v>
      </c>
      <c r="J11" s="215" t="s">
        <v>758</v>
      </c>
      <c r="K11" s="230" t="s">
        <v>306</v>
      </c>
      <c r="L11" s="230">
        <v>3</v>
      </c>
      <c r="M11" s="212" t="s">
        <v>761</v>
      </c>
      <c r="N11" s="231">
        <v>45519</v>
      </c>
      <c r="O11" s="231">
        <v>45643</v>
      </c>
      <c r="P11" s="231">
        <v>45658</v>
      </c>
      <c r="Q11" s="214">
        <v>75064983</v>
      </c>
      <c r="R11" s="230" t="s">
        <v>763</v>
      </c>
      <c r="S11" s="198" t="s">
        <v>21</v>
      </c>
      <c r="T11" s="198" t="s">
        <v>11</v>
      </c>
      <c r="U11" s="198" t="s">
        <v>8</v>
      </c>
      <c r="V11" s="198" t="s">
        <v>108</v>
      </c>
      <c r="W11" s="224" t="s">
        <v>25</v>
      </c>
      <c r="X11" s="88">
        <f t="shared" si="0"/>
        <v>3</v>
      </c>
      <c r="Y11" s="232" t="s">
        <v>9</v>
      </c>
      <c r="Z11" s="234" t="s">
        <v>861</v>
      </c>
      <c r="AA11" s="212"/>
    </row>
    <row r="12" spans="1:27" s="98" customFormat="1" ht="25.5" x14ac:dyDescent="0.2">
      <c r="A12" s="229">
        <v>2026</v>
      </c>
      <c r="B12" s="229" t="s">
        <v>24</v>
      </c>
      <c r="C12" s="229">
        <v>4</v>
      </c>
      <c r="D12" s="233"/>
      <c r="E12" s="212"/>
      <c r="F12" s="212"/>
      <c r="G12" s="212"/>
      <c r="H12" s="229"/>
      <c r="I12" s="212"/>
      <c r="J12" s="215"/>
      <c r="K12" s="230"/>
      <c r="L12" s="230"/>
      <c r="M12" s="212"/>
      <c r="N12" s="231"/>
      <c r="O12" s="231"/>
      <c r="P12" s="231"/>
      <c r="Q12" s="214"/>
      <c r="R12" s="212" t="s">
        <v>759</v>
      </c>
      <c r="S12" s="198"/>
      <c r="T12" s="198"/>
      <c r="U12" s="198"/>
      <c r="V12" s="198"/>
      <c r="W12" s="224"/>
      <c r="X12" s="88"/>
      <c r="Y12" s="232" t="s">
        <v>9</v>
      </c>
      <c r="Z12" s="198"/>
      <c r="AA12" s="212"/>
    </row>
    <row r="13" spans="1:27" s="98" customFormat="1" ht="38.25" x14ac:dyDescent="0.2">
      <c r="A13" s="229">
        <v>2026</v>
      </c>
      <c r="B13" s="229" t="s">
        <v>24</v>
      </c>
      <c r="C13" s="229">
        <v>4</v>
      </c>
      <c r="D13" s="233"/>
      <c r="E13" s="212"/>
      <c r="F13" s="212"/>
      <c r="G13" s="212"/>
      <c r="H13" s="229"/>
      <c r="I13" s="212"/>
      <c r="J13" s="215"/>
      <c r="K13" s="230"/>
      <c r="L13" s="230"/>
      <c r="M13" s="212"/>
      <c r="N13" s="231"/>
      <c r="O13" s="231"/>
      <c r="P13" s="231"/>
      <c r="Q13" s="214"/>
      <c r="R13" s="212" t="s">
        <v>760</v>
      </c>
      <c r="S13" s="198"/>
      <c r="T13" s="198"/>
      <c r="U13" s="198"/>
      <c r="V13" s="198"/>
      <c r="W13" s="224"/>
      <c r="X13" s="88"/>
      <c r="Y13" s="232" t="s">
        <v>770</v>
      </c>
      <c r="Z13" s="198"/>
      <c r="AA13" s="212"/>
    </row>
    <row r="14" spans="1:27" s="98" customFormat="1" ht="153" x14ac:dyDescent="0.2">
      <c r="A14" s="266">
        <v>2026</v>
      </c>
      <c r="B14" s="266" t="s">
        <v>24</v>
      </c>
      <c r="C14" s="266">
        <v>5</v>
      </c>
      <c r="D14" s="267" t="s">
        <v>764</v>
      </c>
      <c r="E14" s="204" t="s">
        <v>49</v>
      </c>
      <c r="F14" s="204" t="s">
        <v>303</v>
      </c>
      <c r="G14" s="204" t="s">
        <v>302</v>
      </c>
      <c r="H14" s="266" t="s">
        <v>766</v>
      </c>
      <c r="I14" s="204" t="s">
        <v>767</v>
      </c>
      <c r="J14" s="268" t="s">
        <v>768</v>
      </c>
      <c r="K14" s="269" t="s">
        <v>306</v>
      </c>
      <c r="L14" s="269">
        <v>2</v>
      </c>
      <c r="M14" s="204" t="s">
        <v>595</v>
      </c>
      <c r="N14" s="216">
        <v>45537</v>
      </c>
      <c r="O14" s="216">
        <v>45587</v>
      </c>
      <c r="P14" s="216">
        <v>46164</v>
      </c>
      <c r="Q14" s="266">
        <v>75079723</v>
      </c>
      <c r="R14" s="269" t="s">
        <v>769</v>
      </c>
      <c r="S14" s="204" t="s">
        <v>21</v>
      </c>
      <c r="T14" s="204" t="s">
        <v>11</v>
      </c>
      <c r="U14" s="204" t="s">
        <v>8</v>
      </c>
      <c r="V14" s="204" t="s">
        <v>26</v>
      </c>
      <c r="W14" s="270" t="s">
        <v>23</v>
      </c>
      <c r="X14" s="271">
        <v>0</v>
      </c>
      <c r="Y14" s="217" t="s">
        <v>9</v>
      </c>
      <c r="Z14" s="246" t="s">
        <v>861</v>
      </c>
      <c r="AA14" s="204" t="s">
        <v>592</v>
      </c>
    </row>
    <row r="15" spans="1:27" s="98" customFormat="1" ht="25.5" x14ac:dyDescent="0.2">
      <c r="A15" s="266">
        <v>2026</v>
      </c>
      <c r="B15" s="266" t="s">
        <v>24</v>
      </c>
      <c r="C15" s="266">
        <v>5</v>
      </c>
      <c r="D15" s="267"/>
      <c r="E15" s="204"/>
      <c r="F15" s="204"/>
      <c r="G15" s="204"/>
      <c r="H15" s="266"/>
      <c r="I15" s="204"/>
      <c r="J15" s="268"/>
      <c r="K15" s="269"/>
      <c r="L15" s="269"/>
      <c r="M15" s="204"/>
      <c r="N15" s="216"/>
      <c r="O15" s="216"/>
      <c r="P15" s="216"/>
      <c r="Q15" s="266"/>
      <c r="R15" s="204" t="s">
        <v>765</v>
      </c>
      <c r="S15" s="204"/>
      <c r="T15" s="204"/>
      <c r="U15" s="204"/>
      <c r="V15" s="204"/>
      <c r="W15" s="270"/>
      <c r="X15" s="271"/>
      <c r="Y15" s="217" t="s">
        <v>9</v>
      </c>
      <c r="Z15" s="204"/>
      <c r="AA15" s="204"/>
    </row>
    <row r="16" spans="1:27" s="98" customFormat="1" ht="76.5" x14ac:dyDescent="0.2">
      <c r="A16" s="266">
        <v>2026</v>
      </c>
      <c r="B16" s="266" t="s">
        <v>24</v>
      </c>
      <c r="C16" s="266">
        <v>6</v>
      </c>
      <c r="D16" s="267" t="s">
        <v>773</v>
      </c>
      <c r="E16" s="204" t="s">
        <v>49</v>
      </c>
      <c r="F16" s="204" t="s">
        <v>303</v>
      </c>
      <c r="G16" s="204" t="s">
        <v>302</v>
      </c>
      <c r="H16" s="266" t="s">
        <v>771</v>
      </c>
      <c r="I16" s="204" t="s">
        <v>772</v>
      </c>
      <c r="J16" s="268" t="s">
        <v>774</v>
      </c>
      <c r="K16" s="269" t="s">
        <v>775</v>
      </c>
      <c r="L16" s="269">
        <v>3</v>
      </c>
      <c r="M16" s="204" t="s">
        <v>776</v>
      </c>
      <c r="N16" s="216">
        <v>45434</v>
      </c>
      <c r="O16" s="216">
        <v>45768</v>
      </c>
      <c r="P16" s="216">
        <v>45782</v>
      </c>
      <c r="Q16" s="266">
        <v>75079723</v>
      </c>
      <c r="R16" s="269" t="s">
        <v>769</v>
      </c>
      <c r="S16" s="204" t="s">
        <v>21</v>
      </c>
      <c r="T16" s="204" t="s">
        <v>11</v>
      </c>
      <c r="U16" s="204" t="s">
        <v>8</v>
      </c>
      <c r="V16" s="204" t="s">
        <v>26</v>
      </c>
      <c r="W16" s="270" t="s">
        <v>23</v>
      </c>
      <c r="X16" s="271">
        <v>0</v>
      </c>
      <c r="Y16" s="217" t="s">
        <v>9</v>
      </c>
      <c r="Z16" s="246" t="s">
        <v>861</v>
      </c>
      <c r="AA16" s="204" t="s">
        <v>779</v>
      </c>
    </row>
    <row r="17" spans="1:27" s="98" customFormat="1" ht="25.5" x14ac:dyDescent="0.2">
      <c r="A17" s="266">
        <v>2026</v>
      </c>
      <c r="B17" s="266" t="s">
        <v>24</v>
      </c>
      <c r="C17" s="266">
        <v>6</v>
      </c>
      <c r="D17" s="267"/>
      <c r="E17" s="204"/>
      <c r="F17" s="204"/>
      <c r="G17" s="204"/>
      <c r="H17" s="266"/>
      <c r="I17" s="204"/>
      <c r="J17" s="268"/>
      <c r="K17" s="269"/>
      <c r="L17" s="269"/>
      <c r="M17" s="204"/>
      <c r="N17" s="216"/>
      <c r="O17" s="216"/>
      <c r="P17" s="216"/>
      <c r="Q17" s="266"/>
      <c r="R17" s="204" t="s">
        <v>777</v>
      </c>
      <c r="S17" s="204"/>
      <c r="T17" s="204"/>
      <c r="U17" s="204"/>
      <c r="V17" s="204"/>
      <c r="W17" s="270"/>
      <c r="X17" s="271"/>
      <c r="Y17" s="217" t="s">
        <v>9</v>
      </c>
      <c r="Z17" s="204"/>
      <c r="AA17" s="204"/>
    </row>
    <row r="18" spans="1:27" s="98" customFormat="1" ht="25.5" x14ac:dyDescent="0.2">
      <c r="A18" s="266">
        <v>2026</v>
      </c>
      <c r="B18" s="266" t="s">
        <v>24</v>
      </c>
      <c r="C18" s="266">
        <v>6</v>
      </c>
      <c r="D18" s="267"/>
      <c r="E18" s="204"/>
      <c r="F18" s="204"/>
      <c r="G18" s="204"/>
      <c r="H18" s="266"/>
      <c r="I18" s="204"/>
      <c r="J18" s="268"/>
      <c r="K18" s="269"/>
      <c r="L18" s="269"/>
      <c r="M18" s="204"/>
      <c r="N18" s="216"/>
      <c r="O18" s="216"/>
      <c r="P18" s="216"/>
      <c r="Q18" s="266"/>
      <c r="R18" s="204" t="s">
        <v>778</v>
      </c>
      <c r="S18" s="204"/>
      <c r="T18" s="204"/>
      <c r="U18" s="204"/>
      <c r="V18" s="204"/>
      <c r="W18" s="270"/>
      <c r="X18" s="271"/>
      <c r="Y18" s="217" t="s">
        <v>9</v>
      </c>
      <c r="Z18" s="204"/>
      <c r="AA18" s="204"/>
    </row>
    <row r="19" spans="1:27" s="98" customFormat="1" ht="89.25" x14ac:dyDescent="0.2">
      <c r="A19" s="120">
        <v>2026</v>
      </c>
      <c r="B19" s="120" t="s">
        <v>24</v>
      </c>
      <c r="C19" s="120">
        <v>7</v>
      </c>
      <c r="D19" s="260" t="s">
        <v>780</v>
      </c>
      <c r="E19" s="124" t="s">
        <v>49</v>
      </c>
      <c r="F19" s="124" t="s">
        <v>301</v>
      </c>
      <c r="G19" s="124" t="s">
        <v>302</v>
      </c>
      <c r="H19" s="120" t="s">
        <v>781</v>
      </c>
      <c r="I19" s="124" t="s">
        <v>782</v>
      </c>
      <c r="J19" s="261" t="s">
        <v>783</v>
      </c>
      <c r="K19" s="262" t="s">
        <v>306</v>
      </c>
      <c r="L19" s="262">
        <v>2</v>
      </c>
      <c r="M19" s="226" t="s">
        <v>776</v>
      </c>
      <c r="N19" s="128">
        <v>45542</v>
      </c>
      <c r="O19" s="128">
        <v>45796</v>
      </c>
      <c r="P19" s="128">
        <v>45839</v>
      </c>
      <c r="Q19" s="286">
        <v>36310363</v>
      </c>
      <c r="R19" s="262" t="s">
        <v>784</v>
      </c>
      <c r="S19" s="226" t="s">
        <v>17</v>
      </c>
      <c r="T19" s="226" t="s">
        <v>10</v>
      </c>
      <c r="U19" s="226" t="s">
        <v>8</v>
      </c>
      <c r="V19" s="226" t="s">
        <v>112</v>
      </c>
      <c r="W19" s="227" t="s">
        <v>63</v>
      </c>
      <c r="X19" s="264">
        <f>IF(OR(K19="", L19=""), "", IF(K19="A1", 15, IF(K19="A2", 12, IF(K19="B", 8, IF(K19="C", 3, 0)))) / IF(L19&lt;=3, 1, IF(L19&lt;=5, 2, L19/2)))</f>
        <v>3</v>
      </c>
      <c r="Y19" s="315" t="s">
        <v>9</v>
      </c>
      <c r="Z19" s="353" t="s">
        <v>861</v>
      </c>
      <c r="AA19" s="124" t="s">
        <v>819</v>
      </c>
    </row>
    <row r="20" spans="1:27" s="98" customFormat="1" ht="38.25" x14ac:dyDescent="0.2">
      <c r="A20" s="120">
        <v>2026</v>
      </c>
      <c r="B20" s="120" t="s">
        <v>24</v>
      </c>
      <c r="C20" s="120">
        <v>7</v>
      </c>
      <c r="D20" s="260"/>
      <c r="E20" s="124"/>
      <c r="F20" s="124"/>
      <c r="G20" s="124"/>
      <c r="H20" s="120"/>
      <c r="I20" s="124"/>
      <c r="J20" s="261"/>
      <c r="K20" s="262"/>
      <c r="L20" s="262"/>
      <c r="M20" s="124"/>
      <c r="N20" s="128"/>
      <c r="O20" s="128"/>
      <c r="P20" s="128"/>
      <c r="Q20" s="286"/>
      <c r="R20" s="124" t="s">
        <v>785</v>
      </c>
      <c r="S20" s="226"/>
      <c r="T20" s="226"/>
      <c r="U20" s="226"/>
      <c r="V20" s="226"/>
      <c r="W20" s="227"/>
      <c r="X20" s="264"/>
      <c r="Y20" s="265" t="s">
        <v>786</v>
      </c>
      <c r="Z20" s="226"/>
      <c r="AA20" s="124"/>
    </row>
    <row r="22" spans="1:27" x14ac:dyDescent="0.25">
      <c r="S22" s="8"/>
      <c r="T22" s="8" t="s">
        <v>61</v>
      </c>
      <c r="U22" s="8"/>
      <c r="V22" s="8"/>
      <c r="W22" s="8"/>
      <c r="X22" s="9">
        <f>SUM(X3:X20)</f>
        <v>20</v>
      </c>
    </row>
    <row r="23" spans="1:27" x14ac:dyDescent="0.25">
      <c r="A23" s="3"/>
      <c r="B23" s="3"/>
      <c r="C23" s="3"/>
      <c r="D23" s="3"/>
      <c r="I23" s="3"/>
      <c r="J23" s="3"/>
      <c r="K23" s="3"/>
      <c r="L23" s="3"/>
      <c r="M23" s="3"/>
      <c r="N23" s="3"/>
      <c r="O23" s="3"/>
      <c r="P23" s="3"/>
      <c r="Q23" s="3"/>
      <c r="R23" s="7"/>
      <c r="S23" s="3"/>
      <c r="T23" s="3"/>
      <c r="U23" s="3"/>
      <c r="V23" s="3"/>
      <c r="W23" s="3"/>
    </row>
    <row r="24" spans="1:27" x14ac:dyDescent="0.25">
      <c r="A24" s="3"/>
      <c r="B24" s="3"/>
      <c r="C24" s="3"/>
      <c r="D24" s="3"/>
      <c r="E24" s="100"/>
      <c r="F24" s="100"/>
      <c r="G24" s="100"/>
      <c r="H24" s="100"/>
      <c r="I24" s="3"/>
      <c r="J24" s="3"/>
      <c r="K24" s="3"/>
      <c r="L24" s="3"/>
      <c r="M24" s="3"/>
      <c r="N24" s="3"/>
      <c r="O24" s="3"/>
      <c r="P24" s="3"/>
      <c r="Q24" s="3"/>
      <c r="R24" s="7"/>
      <c r="S24" s="3"/>
      <c r="T24" s="3"/>
      <c r="U24" s="3"/>
      <c r="V24" s="3"/>
      <c r="W24" s="3"/>
      <c r="X24" s="3"/>
      <c r="Y24" s="3"/>
      <c r="Z24" s="3"/>
      <c r="AA24" s="3"/>
    </row>
    <row r="25" spans="1:27" x14ac:dyDescent="0.25">
      <c r="A25" s="33"/>
      <c r="B25" s="33"/>
      <c r="C25" s="33"/>
      <c r="D25" s="33"/>
      <c r="E25" s="170"/>
      <c r="F25" s="170"/>
      <c r="G25" s="170"/>
      <c r="H25" s="170"/>
      <c r="I25" s="359" t="s">
        <v>12</v>
      </c>
      <c r="J25" s="359"/>
      <c r="K25" s="359"/>
      <c r="L25" s="359"/>
      <c r="M25" s="359"/>
      <c r="N25" s="171"/>
      <c r="O25" s="171"/>
      <c r="P25" s="171"/>
      <c r="Q25" s="171"/>
      <c r="R25" s="171"/>
      <c r="S25" s="171" t="s">
        <v>13</v>
      </c>
      <c r="T25" s="171"/>
      <c r="U25" s="174"/>
      <c r="V25" s="171"/>
      <c r="W25" s="170"/>
      <c r="X25" s="98"/>
      <c r="Y25" s="98"/>
      <c r="Z25" s="98"/>
      <c r="AA25" s="98"/>
    </row>
    <row r="26" spans="1:27" x14ac:dyDescent="0.25">
      <c r="A26" s="33"/>
      <c r="B26" s="33"/>
      <c r="C26" s="33"/>
      <c r="D26" s="33"/>
      <c r="E26" s="170"/>
      <c r="F26" s="170"/>
      <c r="G26" s="170"/>
      <c r="H26" s="170"/>
      <c r="I26" s="360" t="s">
        <v>14</v>
      </c>
      <c r="J26" s="360"/>
      <c r="K26" s="360"/>
      <c r="L26" s="360"/>
      <c r="M26" s="360"/>
      <c r="N26" s="172"/>
      <c r="O26" s="172"/>
      <c r="P26" s="172"/>
      <c r="Q26" s="172"/>
      <c r="R26" s="172"/>
      <c r="S26" s="173" t="s">
        <v>18</v>
      </c>
      <c r="T26" s="173"/>
      <c r="U26" s="174"/>
      <c r="V26" s="172"/>
      <c r="W26" s="171"/>
      <c r="X26" s="98"/>
      <c r="Y26" s="98"/>
      <c r="Z26" s="98"/>
      <c r="AA26" s="98"/>
    </row>
    <row r="27" spans="1:27" x14ac:dyDescent="0.25">
      <c r="A27" s="33"/>
      <c r="B27" s="33"/>
      <c r="C27" s="33"/>
      <c r="D27" s="33"/>
      <c r="E27" s="170"/>
      <c r="F27" s="170"/>
      <c r="G27" s="170"/>
      <c r="H27" s="170"/>
      <c r="I27" s="356" t="s">
        <v>62</v>
      </c>
      <c r="J27" s="356"/>
      <c r="K27" s="356"/>
      <c r="L27" s="356"/>
      <c r="M27" s="356"/>
      <c r="N27" s="169"/>
      <c r="O27" s="169"/>
      <c r="P27" s="169"/>
      <c r="Q27" s="169"/>
      <c r="R27" s="169"/>
      <c r="S27" s="171" t="s">
        <v>20</v>
      </c>
      <c r="T27" s="171"/>
      <c r="U27" s="170"/>
      <c r="V27" s="169"/>
      <c r="W27" s="172"/>
      <c r="X27" s="98"/>
      <c r="Y27" s="98"/>
      <c r="Z27" s="98"/>
      <c r="AA27" s="98"/>
    </row>
    <row r="28" spans="1:27" x14ac:dyDescent="0.25">
      <c r="A28" s="33"/>
      <c r="B28" s="33"/>
      <c r="C28" s="33"/>
      <c r="D28" s="33"/>
      <c r="E28" s="170"/>
      <c r="F28" s="170"/>
      <c r="G28" s="170"/>
      <c r="H28" s="170"/>
      <c r="I28" s="356" t="s">
        <v>15</v>
      </c>
      <c r="J28" s="356"/>
      <c r="K28" s="356"/>
      <c r="L28" s="356"/>
      <c r="M28" s="356"/>
      <c r="N28" s="169"/>
      <c r="O28" s="169"/>
      <c r="P28" s="169"/>
      <c r="Q28" s="169"/>
      <c r="R28" s="33"/>
      <c r="S28" s="170" t="s">
        <v>16</v>
      </c>
      <c r="T28" s="170"/>
      <c r="U28" s="170"/>
      <c r="V28" s="169"/>
      <c r="W28" s="33"/>
      <c r="X28" s="98"/>
      <c r="Y28" s="98"/>
      <c r="Z28" s="98"/>
      <c r="AA28" s="98"/>
    </row>
    <row r="29" spans="1:27" x14ac:dyDescent="0.25">
      <c r="A29" s="3"/>
      <c r="B29" s="3"/>
      <c r="C29" s="3"/>
      <c r="D29" s="3"/>
      <c r="I29" s="3"/>
      <c r="J29" s="3"/>
      <c r="K29" s="3"/>
      <c r="L29" s="3"/>
      <c r="M29" s="3"/>
      <c r="N29" s="3"/>
      <c r="O29" s="3"/>
      <c r="P29" s="3"/>
      <c r="Q29" s="3"/>
      <c r="R29" s="3"/>
      <c r="S29" s="3"/>
      <c r="T29" s="3"/>
      <c r="U29" s="10"/>
      <c r="V29" s="3"/>
      <c r="W29" s="10"/>
    </row>
    <row r="37" spans="5:5" x14ac:dyDescent="0.25">
      <c r="E37" s="31"/>
    </row>
  </sheetData>
  <autoFilter ref="A1:AA2" xr:uid="{7EF6E025-A6B7-4759-B155-6F0432A7F17E}">
    <filterColumn colId="13" showButton="0"/>
    <filterColumn colId="14" showButton="0"/>
  </autoFilter>
  <mergeCells count="5">
    <mergeCell ref="N1:P1"/>
    <mergeCell ref="I25:M25"/>
    <mergeCell ref="I26:M26"/>
    <mergeCell ref="I27:M27"/>
    <mergeCell ref="I28:M28"/>
  </mergeCells>
  <hyperlinks>
    <hyperlink ref="J3" r:id="rId1" location="/revistasPublindex/detalle?tipo=R&amp;idRevista=1055" xr:uid="{19DCCC11-19B6-4168-8E4D-C28E25216B1D}"/>
    <hyperlink ref="J6" r:id="rId2" location="/revistasPublindex/detalle?tipo=R&amp;idRevista=599" xr:uid="{CBB11FAA-5FE7-483E-AA97-6388FCC57FE8}"/>
    <hyperlink ref="J9" r:id="rId3" location="/revistasPublindex/detalle?tipo=R&amp;idRevista=820" xr:uid="{F9718604-F474-4238-97D6-ABE073182C4B}"/>
    <hyperlink ref="J11" r:id="rId4" location="/revistasPublindex/detalle?tipo=R&amp;idRevista=1008" xr:uid="{EE3AF0D4-D190-4E48-B420-1550ADAA585F}"/>
    <hyperlink ref="J14" r:id="rId5" location="/revistasPublindex/detalle?tipo=R&amp;idRevista=208" xr:uid="{C9F75EF2-6519-484B-9FC1-6CF598564FA4}"/>
    <hyperlink ref="J16" r:id="rId6" location="/revistasPublindex/detalle?tipo=R&amp;idRevista=279" xr:uid="{8A0271FE-2760-4B29-80BE-77DF2F9671BB}"/>
    <hyperlink ref="J19" r:id="rId7" location="/revistasPublindex/detalle?tipo=R&amp;idRevista=629" xr:uid="{BB744201-753C-485F-92D8-38A47B2F2A38}"/>
  </hyperlinks>
  <printOptions horizontalCentered="1"/>
  <pageMargins left="0.70866141732283472" right="0.70866141732283472" top="0.74803149606299213" bottom="0.74803149606299213" header="0.31496062992125984" footer="0.31496062992125984"/>
  <pageSetup paperSize="258" scale="50" orientation="landscape"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AE9F-6AB8-4FDF-9D83-C0A4D8AF614A}">
  <sheetPr>
    <tabColor theme="6" tint="0.59999389629810485"/>
  </sheetPr>
  <dimension ref="A1:U222"/>
  <sheetViews>
    <sheetView zoomScale="90" zoomScaleNormal="90" zoomScalePageLayoutView="80" workbookViewId="0">
      <selection sqref="A1:XFD1"/>
    </sheetView>
  </sheetViews>
  <sheetFormatPr baseColWidth="10" defaultRowHeight="72" customHeight="1" x14ac:dyDescent="0.2"/>
  <cols>
    <col min="1" max="1" width="5.5703125" style="98" bestFit="1" customWidth="1"/>
    <col min="2" max="2" width="7.140625" style="98" customWidth="1"/>
    <col min="3" max="3" width="4.28515625" style="98" customWidth="1"/>
    <col min="4" max="4" width="13.7109375" style="98" customWidth="1"/>
    <col min="5" max="5" width="9.7109375" style="98" customWidth="1"/>
    <col min="6" max="6" width="13.42578125" style="98" customWidth="1"/>
    <col min="7" max="7" width="8.5703125" style="98" bestFit="1" customWidth="1"/>
    <col min="8" max="8" width="15" style="98" customWidth="1"/>
    <col min="9" max="9" width="11.28515625" style="98" bestFit="1" customWidth="1"/>
    <col min="10" max="10" width="14" style="98" bestFit="1" customWidth="1"/>
    <col min="11" max="11" width="15.5703125" style="98" customWidth="1"/>
    <col min="12" max="12" width="12.140625" style="98" customWidth="1"/>
    <col min="13" max="13" width="10.42578125" style="98" bestFit="1" customWidth="1"/>
    <col min="14" max="14" width="9.140625" style="98" customWidth="1"/>
    <col min="15" max="15" width="14.140625" style="98" customWidth="1"/>
    <col min="16" max="16" width="9.7109375" style="98" bestFit="1" customWidth="1"/>
    <col min="17" max="17" width="12.42578125" style="98" bestFit="1" customWidth="1"/>
    <col min="18" max="18" width="13.85546875" style="98" customWidth="1"/>
    <col min="19" max="19" width="10.5703125" style="98" bestFit="1" customWidth="1"/>
    <col min="20" max="20" width="11.42578125" style="33"/>
    <col min="21" max="21" width="14.85546875" style="98" bestFit="1" customWidth="1"/>
    <col min="22" max="16384" width="11.42578125" style="98"/>
  </cols>
  <sheetData>
    <row r="1" spans="1:21" ht="72" customHeight="1" x14ac:dyDescent="0.2">
      <c r="A1" s="35" t="s">
        <v>6</v>
      </c>
      <c r="B1" s="35" t="s">
        <v>1</v>
      </c>
      <c r="C1" s="35" t="s">
        <v>5</v>
      </c>
      <c r="D1" s="35" t="s">
        <v>210</v>
      </c>
      <c r="E1" s="35" t="s">
        <v>33</v>
      </c>
      <c r="F1" s="35" t="s">
        <v>211</v>
      </c>
      <c r="G1" s="35" t="s">
        <v>212</v>
      </c>
      <c r="H1" s="35" t="s">
        <v>213</v>
      </c>
      <c r="I1" s="35" t="s">
        <v>214</v>
      </c>
      <c r="J1" s="35" t="s">
        <v>80</v>
      </c>
      <c r="K1" s="35" t="s">
        <v>81</v>
      </c>
      <c r="L1" s="35" t="s">
        <v>4</v>
      </c>
      <c r="M1" s="35" t="s">
        <v>82</v>
      </c>
      <c r="N1" s="35" t="s">
        <v>3</v>
      </c>
      <c r="O1" s="35" t="s">
        <v>83</v>
      </c>
      <c r="P1" s="35" t="s">
        <v>2</v>
      </c>
      <c r="Q1" s="35" t="s">
        <v>84</v>
      </c>
      <c r="R1" s="35" t="s">
        <v>85</v>
      </c>
      <c r="S1" s="35" t="s">
        <v>0</v>
      </c>
      <c r="T1" s="35" t="s">
        <v>270</v>
      </c>
      <c r="U1" s="35" t="s">
        <v>28</v>
      </c>
    </row>
    <row r="2" spans="1:21" ht="77.25" customHeight="1" x14ac:dyDescent="0.2">
      <c r="A2" s="310">
        <v>2026</v>
      </c>
      <c r="B2" s="310" t="s">
        <v>24</v>
      </c>
      <c r="C2" s="310">
        <v>1</v>
      </c>
      <c r="D2" s="225" t="s">
        <v>797</v>
      </c>
      <c r="E2" s="225" t="s">
        <v>808</v>
      </c>
      <c r="F2" s="225" t="s">
        <v>215</v>
      </c>
      <c r="G2" s="225" t="s">
        <v>301</v>
      </c>
      <c r="H2" s="225" t="s">
        <v>798</v>
      </c>
      <c r="I2" s="225" t="s">
        <v>799</v>
      </c>
      <c r="J2" s="225">
        <v>89004182</v>
      </c>
      <c r="K2" s="209" t="s">
        <v>259</v>
      </c>
      <c r="L2" s="225" t="s">
        <v>21</v>
      </c>
      <c r="M2" s="225" t="s">
        <v>10</v>
      </c>
      <c r="N2" s="225" t="s">
        <v>8</v>
      </c>
      <c r="O2" s="225" t="s">
        <v>108</v>
      </c>
      <c r="P2" s="225" t="s">
        <v>25</v>
      </c>
      <c r="Q2" s="225" t="s">
        <v>9</v>
      </c>
      <c r="R2" s="225" t="s">
        <v>801</v>
      </c>
      <c r="S2" s="206">
        <v>6.3</v>
      </c>
      <c r="T2" s="311" t="s">
        <v>861</v>
      </c>
      <c r="U2" s="311" t="s">
        <v>805</v>
      </c>
    </row>
    <row r="3" spans="1:21" ht="25.5" x14ac:dyDescent="0.2">
      <c r="A3" s="310">
        <v>2026</v>
      </c>
      <c r="B3" s="310" t="s">
        <v>24</v>
      </c>
      <c r="C3" s="310">
        <v>1</v>
      </c>
      <c r="D3" s="225"/>
      <c r="E3" s="225"/>
      <c r="F3" s="225"/>
      <c r="G3" s="225"/>
      <c r="H3" s="225"/>
      <c r="I3" s="225"/>
      <c r="J3" s="225"/>
      <c r="K3" s="225" t="s">
        <v>800</v>
      </c>
      <c r="L3" s="225"/>
      <c r="M3" s="225"/>
      <c r="N3" s="225"/>
      <c r="O3" s="225"/>
      <c r="P3" s="225"/>
      <c r="Q3" s="225" t="s">
        <v>9</v>
      </c>
      <c r="R3" s="225"/>
      <c r="S3" s="294"/>
      <c r="T3" s="311"/>
      <c r="U3" s="311"/>
    </row>
    <row r="4" spans="1:21" ht="25.5" x14ac:dyDescent="0.2">
      <c r="A4" s="310">
        <v>2026</v>
      </c>
      <c r="B4" s="310" t="s">
        <v>24</v>
      </c>
      <c r="C4" s="310">
        <v>1</v>
      </c>
      <c r="D4" s="225"/>
      <c r="E4" s="225"/>
      <c r="F4" s="225"/>
      <c r="G4" s="225"/>
      <c r="H4" s="225"/>
      <c r="I4" s="225"/>
      <c r="J4" s="293"/>
      <c r="K4" s="225" t="s">
        <v>216</v>
      </c>
      <c r="L4" s="293"/>
      <c r="M4" s="293"/>
      <c r="N4" s="293"/>
      <c r="O4" s="293"/>
      <c r="P4" s="293"/>
      <c r="Q4" s="225" t="s">
        <v>9</v>
      </c>
      <c r="R4" s="225"/>
      <c r="S4" s="295"/>
      <c r="T4" s="311"/>
      <c r="U4" s="311"/>
    </row>
    <row r="5" spans="1:21" ht="63.75" x14ac:dyDescent="0.2">
      <c r="A5" s="310">
        <v>2026</v>
      </c>
      <c r="B5" s="310" t="s">
        <v>24</v>
      </c>
      <c r="C5" s="310">
        <v>2</v>
      </c>
      <c r="D5" s="225" t="s">
        <v>802</v>
      </c>
      <c r="E5" s="225" t="s">
        <v>808</v>
      </c>
      <c r="F5" s="225" t="s">
        <v>215</v>
      </c>
      <c r="G5" s="225" t="s">
        <v>301</v>
      </c>
      <c r="H5" s="225" t="s">
        <v>803</v>
      </c>
      <c r="I5" s="225" t="s">
        <v>799</v>
      </c>
      <c r="J5" s="225">
        <v>89004182</v>
      </c>
      <c r="K5" s="209" t="s">
        <v>259</v>
      </c>
      <c r="L5" s="225" t="s">
        <v>21</v>
      </c>
      <c r="M5" s="225" t="s">
        <v>10</v>
      </c>
      <c r="N5" s="225" t="s">
        <v>8</v>
      </c>
      <c r="O5" s="225" t="s">
        <v>108</v>
      </c>
      <c r="P5" s="225" t="s">
        <v>25</v>
      </c>
      <c r="Q5" s="225" t="s">
        <v>9</v>
      </c>
      <c r="R5" s="225" t="s">
        <v>804</v>
      </c>
      <c r="S5" s="206">
        <v>6.6</v>
      </c>
      <c r="T5" s="311" t="s">
        <v>861</v>
      </c>
      <c r="U5" s="311" t="s">
        <v>805</v>
      </c>
    </row>
    <row r="6" spans="1:21" ht="25.5" x14ac:dyDescent="0.2">
      <c r="A6" s="310">
        <v>2026</v>
      </c>
      <c r="B6" s="310" t="s">
        <v>24</v>
      </c>
      <c r="C6" s="310">
        <v>2</v>
      </c>
      <c r="D6" s="225"/>
      <c r="E6" s="225"/>
      <c r="F6" s="225"/>
      <c r="G6" s="225"/>
      <c r="H6" s="225"/>
      <c r="I6" s="225"/>
      <c r="J6" s="225"/>
      <c r="K6" s="225" t="s">
        <v>800</v>
      </c>
      <c r="L6" s="225"/>
      <c r="M6" s="225"/>
      <c r="N6" s="225"/>
      <c r="O6" s="225"/>
      <c r="P6" s="225"/>
      <c r="Q6" s="225" t="s">
        <v>9</v>
      </c>
      <c r="R6" s="225"/>
      <c r="S6" s="294"/>
      <c r="T6" s="311"/>
      <c r="U6" s="311"/>
    </row>
    <row r="7" spans="1:21" ht="25.5" x14ac:dyDescent="0.2">
      <c r="A7" s="310">
        <v>2026</v>
      </c>
      <c r="B7" s="310" t="s">
        <v>24</v>
      </c>
      <c r="C7" s="310">
        <v>2</v>
      </c>
      <c r="D7" s="225"/>
      <c r="E7" s="225"/>
      <c r="F7" s="225"/>
      <c r="G7" s="225"/>
      <c r="H7" s="225"/>
      <c r="I7" s="225"/>
      <c r="J7" s="293"/>
      <c r="K7" s="225" t="s">
        <v>216</v>
      </c>
      <c r="L7" s="293"/>
      <c r="M7" s="293"/>
      <c r="N7" s="293"/>
      <c r="O7" s="293"/>
      <c r="P7" s="293"/>
      <c r="Q7" s="225" t="s">
        <v>9</v>
      </c>
      <c r="R7" s="225"/>
      <c r="S7" s="295"/>
      <c r="T7" s="311"/>
      <c r="U7" s="311"/>
    </row>
    <row r="8" spans="1:21" ht="63.75" x14ac:dyDescent="0.2">
      <c r="A8" s="310">
        <v>2026</v>
      </c>
      <c r="B8" s="310" t="s">
        <v>24</v>
      </c>
      <c r="C8" s="310">
        <v>3</v>
      </c>
      <c r="D8" s="225" t="s">
        <v>806</v>
      </c>
      <c r="E8" s="225" t="s">
        <v>808</v>
      </c>
      <c r="F8" s="225" t="s">
        <v>215</v>
      </c>
      <c r="G8" s="225" t="s">
        <v>301</v>
      </c>
      <c r="H8" s="225" t="s">
        <v>807</v>
      </c>
      <c r="I8" s="225" t="s">
        <v>799</v>
      </c>
      <c r="J8" s="225">
        <v>89004182</v>
      </c>
      <c r="K8" s="209" t="s">
        <v>259</v>
      </c>
      <c r="L8" s="225" t="s">
        <v>21</v>
      </c>
      <c r="M8" s="225" t="s">
        <v>10</v>
      </c>
      <c r="N8" s="225" t="s">
        <v>8</v>
      </c>
      <c r="O8" s="225" t="s">
        <v>108</v>
      </c>
      <c r="P8" s="225" t="s">
        <v>25</v>
      </c>
      <c r="Q8" s="225" t="s">
        <v>9</v>
      </c>
      <c r="R8" s="225" t="s">
        <v>804</v>
      </c>
      <c r="S8" s="206">
        <v>6.6</v>
      </c>
      <c r="T8" s="311" t="s">
        <v>861</v>
      </c>
      <c r="U8" s="311" t="s">
        <v>805</v>
      </c>
    </row>
    <row r="9" spans="1:21" ht="25.5" x14ac:dyDescent="0.2">
      <c r="A9" s="310">
        <v>2026</v>
      </c>
      <c r="B9" s="310" t="s">
        <v>24</v>
      </c>
      <c r="C9" s="310">
        <v>3</v>
      </c>
      <c r="D9" s="225"/>
      <c r="E9" s="225"/>
      <c r="F9" s="225"/>
      <c r="G9" s="225"/>
      <c r="H9" s="225"/>
      <c r="I9" s="225"/>
      <c r="J9" s="225"/>
      <c r="K9" s="225" t="s">
        <v>800</v>
      </c>
      <c r="L9" s="225"/>
      <c r="M9" s="225"/>
      <c r="N9" s="225"/>
      <c r="O9" s="225"/>
      <c r="P9" s="225"/>
      <c r="Q9" s="225" t="s">
        <v>9</v>
      </c>
      <c r="R9" s="225"/>
      <c r="S9" s="294"/>
      <c r="T9" s="311"/>
      <c r="U9" s="311"/>
    </row>
    <row r="10" spans="1:21" ht="25.5" x14ac:dyDescent="0.2">
      <c r="A10" s="310">
        <v>2026</v>
      </c>
      <c r="B10" s="310" t="s">
        <v>24</v>
      </c>
      <c r="C10" s="310">
        <v>3</v>
      </c>
      <c r="D10" s="225"/>
      <c r="E10" s="225"/>
      <c r="F10" s="225"/>
      <c r="G10" s="225"/>
      <c r="H10" s="225"/>
      <c r="I10" s="225"/>
      <c r="J10" s="293"/>
      <c r="K10" s="225" t="s">
        <v>216</v>
      </c>
      <c r="L10" s="293"/>
      <c r="M10" s="293"/>
      <c r="N10" s="293"/>
      <c r="O10" s="293"/>
      <c r="P10" s="293"/>
      <c r="Q10" s="225" t="s">
        <v>9</v>
      </c>
      <c r="R10" s="225"/>
      <c r="S10" s="295"/>
      <c r="T10" s="311"/>
      <c r="U10" s="311"/>
    </row>
    <row r="11" spans="1:21" ht="63.75" x14ac:dyDescent="0.2">
      <c r="A11" s="310">
        <v>2026</v>
      </c>
      <c r="B11" s="310" t="s">
        <v>24</v>
      </c>
      <c r="C11" s="310">
        <v>4</v>
      </c>
      <c r="D11" s="225" t="s">
        <v>809</v>
      </c>
      <c r="E11" s="225" t="s">
        <v>808</v>
      </c>
      <c r="F11" s="225" t="s">
        <v>215</v>
      </c>
      <c r="G11" s="225" t="s">
        <v>301</v>
      </c>
      <c r="H11" s="225" t="s">
        <v>810</v>
      </c>
      <c r="I11" s="225" t="s">
        <v>799</v>
      </c>
      <c r="J11" s="225">
        <v>89004182</v>
      </c>
      <c r="K11" s="209" t="s">
        <v>259</v>
      </c>
      <c r="L11" s="225" t="s">
        <v>21</v>
      </c>
      <c r="M11" s="225" t="s">
        <v>10</v>
      </c>
      <c r="N11" s="225" t="s">
        <v>8</v>
      </c>
      <c r="O11" s="225" t="s">
        <v>108</v>
      </c>
      <c r="P11" s="225" t="s">
        <v>25</v>
      </c>
      <c r="Q11" s="225" t="s">
        <v>9</v>
      </c>
      <c r="R11" s="225" t="s">
        <v>811</v>
      </c>
      <c r="S11" s="276">
        <v>6.3</v>
      </c>
      <c r="T11" s="311" t="s">
        <v>861</v>
      </c>
      <c r="U11" s="311" t="s">
        <v>805</v>
      </c>
    </row>
    <row r="12" spans="1:21" ht="25.5" x14ac:dyDescent="0.2">
      <c r="A12" s="310">
        <v>2026</v>
      </c>
      <c r="B12" s="310" t="s">
        <v>24</v>
      </c>
      <c r="C12" s="310">
        <v>4</v>
      </c>
      <c r="D12" s="225"/>
      <c r="E12" s="225"/>
      <c r="F12" s="225"/>
      <c r="G12" s="225"/>
      <c r="H12" s="225"/>
      <c r="I12" s="225"/>
      <c r="J12" s="225"/>
      <c r="K12" s="225" t="s">
        <v>800</v>
      </c>
      <c r="L12" s="225"/>
      <c r="M12" s="225"/>
      <c r="N12" s="225"/>
      <c r="O12" s="225"/>
      <c r="P12" s="225"/>
      <c r="Q12" s="225" t="s">
        <v>9</v>
      </c>
      <c r="R12" s="225"/>
      <c r="S12" s="294"/>
      <c r="T12" s="311"/>
      <c r="U12" s="311"/>
    </row>
    <row r="13" spans="1:21" ht="25.5" x14ac:dyDescent="0.2">
      <c r="A13" s="310">
        <v>2026</v>
      </c>
      <c r="B13" s="310" t="s">
        <v>24</v>
      </c>
      <c r="C13" s="310">
        <v>4</v>
      </c>
      <c r="D13" s="225"/>
      <c r="E13" s="225"/>
      <c r="F13" s="225"/>
      <c r="G13" s="225"/>
      <c r="H13" s="225"/>
      <c r="I13" s="225"/>
      <c r="J13" s="293"/>
      <c r="K13" s="225" t="s">
        <v>216</v>
      </c>
      <c r="L13" s="293"/>
      <c r="M13" s="293"/>
      <c r="N13" s="293"/>
      <c r="O13" s="293"/>
      <c r="P13" s="293"/>
      <c r="Q13" s="225" t="s">
        <v>9</v>
      </c>
      <c r="R13" s="225"/>
      <c r="S13" s="295"/>
      <c r="T13" s="311"/>
      <c r="U13" s="311"/>
    </row>
    <row r="14" spans="1:21" ht="63.75" x14ac:dyDescent="0.2">
      <c r="A14" s="310">
        <v>2026</v>
      </c>
      <c r="B14" s="310" t="s">
        <v>24</v>
      </c>
      <c r="C14" s="310">
        <v>5</v>
      </c>
      <c r="D14" s="225" t="s">
        <v>812</v>
      </c>
      <c r="E14" s="225" t="s">
        <v>808</v>
      </c>
      <c r="F14" s="225" t="s">
        <v>215</v>
      </c>
      <c r="G14" s="225" t="s">
        <v>301</v>
      </c>
      <c r="H14" s="225" t="s">
        <v>810</v>
      </c>
      <c r="I14" s="225" t="s">
        <v>799</v>
      </c>
      <c r="J14" s="225">
        <v>89004182</v>
      </c>
      <c r="K14" s="209" t="s">
        <v>259</v>
      </c>
      <c r="L14" s="225" t="s">
        <v>21</v>
      </c>
      <c r="M14" s="225" t="s">
        <v>10</v>
      </c>
      <c r="N14" s="225" t="s">
        <v>8</v>
      </c>
      <c r="O14" s="225" t="s">
        <v>108</v>
      </c>
      <c r="P14" s="225" t="s">
        <v>25</v>
      </c>
      <c r="Q14" s="225" t="s">
        <v>9</v>
      </c>
      <c r="R14" s="225" t="s">
        <v>813</v>
      </c>
      <c r="S14" s="276">
        <v>5.9</v>
      </c>
      <c r="T14" s="311" t="s">
        <v>861</v>
      </c>
      <c r="U14" s="311" t="s">
        <v>805</v>
      </c>
    </row>
    <row r="15" spans="1:21" ht="25.5" x14ac:dyDescent="0.2">
      <c r="A15" s="310">
        <v>2026</v>
      </c>
      <c r="B15" s="310" t="s">
        <v>24</v>
      </c>
      <c r="C15" s="310">
        <v>5</v>
      </c>
      <c r="D15" s="225"/>
      <c r="E15" s="225"/>
      <c r="F15" s="225"/>
      <c r="G15" s="225"/>
      <c r="H15" s="225"/>
      <c r="I15" s="225"/>
      <c r="J15" s="225"/>
      <c r="K15" s="225" t="s">
        <v>800</v>
      </c>
      <c r="L15" s="225"/>
      <c r="M15" s="225"/>
      <c r="N15" s="225"/>
      <c r="O15" s="225"/>
      <c r="P15" s="225"/>
      <c r="Q15" s="225" t="s">
        <v>9</v>
      </c>
      <c r="R15" s="225"/>
      <c r="S15" s="294"/>
      <c r="T15" s="311"/>
      <c r="U15" s="311"/>
    </row>
    <row r="16" spans="1:21" ht="25.5" x14ac:dyDescent="0.2">
      <c r="A16" s="310">
        <v>2026</v>
      </c>
      <c r="B16" s="310" t="s">
        <v>24</v>
      </c>
      <c r="C16" s="310">
        <v>5</v>
      </c>
      <c r="D16" s="225"/>
      <c r="E16" s="225"/>
      <c r="F16" s="225"/>
      <c r="G16" s="225"/>
      <c r="H16" s="225"/>
      <c r="I16" s="225"/>
      <c r="J16" s="293"/>
      <c r="K16" s="225" t="s">
        <v>216</v>
      </c>
      <c r="L16" s="293"/>
      <c r="M16" s="293"/>
      <c r="N16" s="293"/>
      <c r="O16" s="293"/>
      <c r="P16" s="293"/>
      <c r="Q16" s="225" t="s">
        <v>9</v>
      </c>
      <c r="R16" s="225"/>
      <c r="S16" s="295"/>
      <c r="T16" s="311"/>
      <c r="U16" s="311"/>
    </row>
    <row r="17" spans="7:21" ht="12.75" x14ac:dyDescent="0.2"/>
    <row r="18" spans="7:21" ht="13.5" x14ac:dyDescent="0.2">
      <c r="P18" s="364" t="s">
        <v>815</v>
      </c>
      <c r="Q18" s="364"/>
      <c r="R18" s="364"/>
      <c r="S18" s="306">
        <f>SUM(S2:S16)</f>
        <v>31.700000000000003</v>
      </c>
    </row>
    <row r="19" spans="7:21" ht="12.75" x14ac:dyDescent="0.2"/>
    <row r="20" spans="7:21" ht="12.75" x14ac:dyDescent="0.2"/>
    <row r="21" spans="7:21" ht="12.75" x14ac:dyDescent="0.2">
      <c r="G21" s="359" t="s">
        <v>12</v>
      </c>
      <c r="H21" s="359"/>
      <c r="I21" s="359"/>
      <c r="J21" s="359"/>
      <c r="K21" s="281"/>
      <c r="L21" s="33"/>
      <c r="M21" s="359" t="s">
        <v>13</v>
      </c>
      <c r="N21" s="359"/>
      <c r="O21" s="359"/>
      <c r="P21" s="359"/>
      <c r="T21" s="98"/>
    </row>
    <row r="22" spans="7:21" ht="12.75" x14ac:dyDescent="0.2">
      <c r="G22" s="360" t="s">
        <v>14</v>
      </c>
      <c r="H22" s="360"/>
      <c r="I22" s="360"/>
      <c r="J22" s="360"/>
      <c r="K22" s="282"/>
      <c r="L22" s="33"/>
      <c r="M22" s="360" t="s">
        <v>18</v>
      </c>
      <c r="N22" s="360"/>
      <c r="O22" s="360"/>
      <c r="P22" s="360"/>
      <c r="T22" s="98"/>
    </row>
    <row r="23" spans="7:21" ht="12.75" x14ac:dyDescent="0.2">
      <c r="G23" s="356" t="s">
        <v>19</v>
      </c>
      <c r="H23" s="356"/>
      <c r="I23" s="356"/>
      <c r="J23" s="356"/>
      <c r="K23" s="280"/>
      <c r="L23" s="359" t="s">
        <v>20</v>
      </c>
      <c r="M23" s="359"/>
      <c r="N23" s="359"/>
      <c r="O23" s="359"/>
      <c r="P23" s="359"/>
      <c r="Q23" s="359"/>
      <c r="R23" s="272"/>
      <c r="T23" s="98"/>
    </row>
    <row r="24" spans="7:21" ht="12.75" x14ac:dyDescent="0.2">
      <c r="G24" s="356" t="s">
        <v>15</v>
      </c>
      <c r="H24" s="356"/>
      <c r="I24" s="356"/>
      <c r="J24" s="356"/>
      <c r="K24" s="280"/>
      <c r="L24" s="33"/>
      <c r="M24" s="357" t="s">
        <v>16</v>
      </c>
      <c r="N24" s="357"/>
      <c r="O24" s="357"/>
      <c r="P24" s="357"/>
      <c r="T24" s="98"/>
    </row>
    <row r="25" spans="7:21" ht="12.75" x14ac:dyDescent="0.2">
      <c r="H25" s="281"/>
      <c r="I25" s="281"/>
      <c r="L25" s="33"/>
      <c r="T25" s="98"/>
      <c r="U25" s="33"/>
    </row>
    <row r="26" spans="7:21" ht="12.75" x14ac:dyDescent="0.2">
      <c r="T26" s="98"/>
      <c r="U26" s="33"/>
    </row>
    <row r="27" spans="7:21" ht="12.75" x14ac:dyDescent="0.2"/>
    <row r="28" spans="7:21" ht="12.75" x14ac:dyDescent="0.2"/>
    <row r="29" spans="7:21" ht="12.75" x14ac:dyDescent="0.2"/>
    <row r="30" spans="7:21" ht="12.75" x14ac:dyDescent="0.2"/>
    <row r="31" spans="7:21" ht="12.75" x14ac:dyDescent="0.2"/>
    <row r="32" spans="7:21"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sheetData>
  <mergeCells count="9">
    <mergeCell ref="P18:R18"/>
    <mergeCell ref="G24:J24"/>
    <mergeCell ref="M24:P24"/>
    <mergeCell ref="G21:J21"/>
    <mergeCell ref="M21:P21"/>
    <mergeCell ref="G22:J22"/>
    <mergeCell ref="M22:P22"/>
    <mergeCell ref="G23:J23"/>
    <mergeCell ref="L23:Q23"/>
  </mergeCells>
  <pageMargins left="0.7" right="0.7" top="0.75" bottom="0.75" header="0.3" footer="0.3"/>
  <pageSetup paperSize="258"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423B-DE6D-4126-A36E-1D2E0A104755}">
  <sheetPr>
    <tabColor theme="6" tint="0.59999389629810485"/>
  </sheetPr>
  <dimension ref="A1:V93"/>
  <sheetViews>
    <sheetView zoomScaleNormal="100" zoomScalePageLayoutView="80" workbookViewId="0">
      <selection sqref="A1:XFD1"/>
    </sheetView>
  </sheetViews>
  <sheetFormatPr baseColWidth="10" defaultRowHeight="72" customHeight="1" x14ac:dyDescent="0.2"/>
  <cols>
    <col min="1" max="1" width="5" style="98" bestFit="1" customWidth="1"/>
    <col min="2" max="2" width="6.7109375" style="98" customWidth="1"/>
    <col min="3" max="3" width="3.5703125" style="98" bestFit="1" customWidth="1"/>
    <col min="4" max="4" width="16.28515625" style="98" customWidth="1"/>
    <col min="5" max="5" width="14.42578125" style="98" bestFit="1" customWidth="1"/>
    <col min="6" max="6" width="10" style="98" bestFit="1" customWidth="1"/>
    <col min="7" max="7" width="9.42578125" style="98" bestFit="1" customWidth="1"/>
    <col min="8" max="8" width="11.42578125" style="98" customWidth="1"/>
    <col min="9" max="10" width="13.7109375" style="98" customWidth="1"/>
    <col min="11" max="11" width="9.28515625" style="98" customWidth="1"/>
    <col min="12" max="12" width="10" style="98" bestFit="1" customWidth="1"/>
    <col min="13" max="13" width="7.7109375" style="98" customWidth="1"/>
    <col min="14" max="14" width="12.28515625" style="98" customWidth="1"/>
    <col min="15" max="15" width="11.140625" style="98" customWidth="1"/>
    <col min="16" max="16" width="12.42578125" style="98" bestFit="1" customWidth="1"/>
    <col min="17" max="17" width="11.5703125" style="98" customWidth="1"/>
    <col min="18" max="18" width="11.7109375" style="98" customWidth="1"/>
    <col min="19" max="19" width="8.28515625" style="98" customWidth="1"/>
    <col min="20" max="20" width="10.42578125" style="98" customWidth="1"/>
    <col min="21" max="21" width="9.28515625" style="98" bestFit="1" customWidth="1"/>
    <col min="22" max="22" width="27.42578125" style="98" customWidth="1"/>
    <col min="23" max="16384" width="11.42578125" style="98"/>
  </cols>
  <sheetData>
    <row r="1" spans="1:22" ht="51" x14ac:dyDescent="0.2">
      <c r="A1" s="35" t="s">
        <v>6</v>
      </c>
      <c r="B1" s="35" t="s">
        <v>1</v>
      </c>
      <c r="C1" s="36" t="s">
        <v>5</v>
      </c>
      <c r="D1" s="35" t="s">
        <v>225</v>
      </c>
      <c r="E1" s="35" t="s">
        <v>79</v>
      </c>
      <c r="F1" s="35" t="s">
        <v>268</v>
      </c>
      <c r="G1" s="35" t="s">
        <v>39</v>
      </c>
      <c r="H1" s="35" t="s">
        <v>226</v>
      </c>
      <c r="I1" s="35" t="s">
        <v>80</v>
      </c>
      <c r="J1" s="35" t="s">
        <v>81</v>
      </c>
      <c r="K1" s="35" t="s">
        <v>4</v>
      </c>
      <c r="L1" s="35" t="s">
        <v>82</v>
      </c>
      <c r="M1" s="35" t="s">
        <v>3</v>
      </c>
      <c r="N1" s="35" t="s">
        <v>83</v>
      </c>
      <c r="O1" s="35" t="s">
        <v>2</v>
      </c>
      <c r="P1" s="35" t="s">
        <v>84</v>
      </c>
      <c r="Q1" s="35" t="s">
        <v>205</v>
      </c>
      <c r="R1" s="35" t="s">
        <v>206</v>
      </c>
      <c r="S1" s="35" t="s">
        <v>204</v>
      </c>
      <c r="T1" s="35" t="s">
        <v>0</v>
      </c>
      <c r="U1" s="35" t="s">
        <v>270</v>
      </c>
      <c r="V1" s="37" t="s">
        <v>87</v>
      </c>
    </row>
    <row r="2" spans="1:22" ht="114.75" x14ac:dyDescent="0.2">
      <c r="A2" s="225">
        <v>2026</v>
      </c>
      <c r="B2" s="225" t="s">
        <v>88</v>
      </c>
      <c r="C2" s="225">
        <v>1</v>
      </c>
      <c r="D2" s="97" t="s">
        <v>691</v>
      </c>
      <c r="E2" s="225" t="s">
        <v>690</v>
      </c>
      <c r="F2" s="38">
        <v>46002</v>
      </c>
      <c r="G2" s="38" t="s">
        <v>208</v>
      </c>
      <c r="H2" s="225" t="s">
        <v>692</v>
      </c>
      <c r="I2" s="208">
        <v>1102042502</v>
      </c>
      <c r="J2" s="209" t="s">
        <v>304</v>
      </c>
      <c r="K2" s="229" t="s">
        <v>21</v>
      </c>
      <c r="L2" s="214" t="s">
        <v>22</v>
      </c>
      <c r="M2" s="198" t="s">
        <v>8</v>
      </c>
      <c r="N2" s="211" t="s">
        <v>305</v>
      </c>
      <c r="O2" s="225" t="s">
        <v>23</v>
      </c>
      <c r="P2" s="225" t="s">
        <v>9</v>
      </c>
      <c r="Q2" s="201">
        <f>AVERAGE(5,5,5,5)</f>
        <v>5</v>
      </c>
      <c r="R2" s="201">
        <f>AVERAGE(5,5,5,5)</f>
        <v>5</v>
      </c>
      <c r="S2" s="198">
        <v>2</v>
      </c>
      <c r="T2" s="202">
        <f>(AVERAGE(Q2, R2)*3) / IF(S2&lt;=3, 1, IF(S2&lt;=5, 2, S2/2))-8.3</f>
        <v>6.6999999999999993</v>
      </c>
      <c r="U2" s="234" t="s">
        <v>861</v>
      </c>
      <c r="V2" s="225" t="s">
        <v>694</v>
      </c>
    </row>
    <row r="3" spans="1:22" ht="25.5" x14ac:dyDescent="0.2">
      <c r="A3" s="225">
        <v>2026</v>
      </c>
      <c r="B3" s="225" t="s">
        <v>88</v>
      </c>
      <c r="C3" s="225">
        <v>1</v>
      </c>
      <c r="D3" s="223"/>
      <c r="E3" s="225"/>
      <c r="F3" s="38"/>
      <c r="G3" s="38"/>
      <c r="H3" s="225"/>
      <c r="I3" s="208"/>
      <c r="J3" s="225" t="s">
        <v>693</v>
      </c>
      <c r="K3" s="210"/>
      <c r="L3" s="210"/>
      <c r="M3" s="225"/>
      <c r="N3" s="211"/>
      <c r="O3" s="225"/>
      <c r="P3" s="225"/>
      <c r="Q3" s="205"/>
      <c r="R3" s="205"/>
      <c r="S3" s="225"/>
      <c r="T3" s="202"/>
      <c r="U3" s="352"/>
      <c r="V3" s="78"/>
    </row>
    <row r="4" spans="1:22" ht="63.75" x14ac:dyDescent="0.2">
      <c r="A4" s="225">
        <v>2026</v>
      </c>
      <c r="B4" s="225" t="s">
        <v>88</v>
      </c>
      <c r="C4" s="225">
        <v>2</v>
      </c>
      <c r="D4" s="97" t="s">
        <v>722</v>
      </c>
      <c r="E4" s="225" t="s">
        <v>721</v>
      </c>
      <c r="F4" s="38">
        <v>45987</v>
      </c>
      <c r="G4" s="38" t="s">
        <v>208</v>
      </c>
      <c r="H4" s="225" t="s">
        <v>723</v>
      </c>
      <c r="I4" s="208">
        <v>16512197</v>
      </c>
      <c r="J4" s="209" t="s">
        <v>605</v>
      </c>
      <c r="K4" s="214" t="s">
        <v>17</v>
      </c>
      <c r="L4" s="214" t="s">
        <v>22</v>
      </c>
      <c r="M4" s="198" t="s">
        <v>8</v>
      </c>
      <c r="N4" s="224" t="s">
        <v>72</v>
      </c>
      <c r="O4" s="198" t="s">
        <v>27</v>
      </c>
      <c r="P4" s="198" t="s">
        <v>9</v>
      </c>
      <c r="Q4" s="201">
        <f>AVERAGE(4,3,3,3)</f>
        <v>3.25</v>
      </c>
      <c r="R4" s="201">
        <f>AVERAGE(3.8,4.2,4,4)</f>
        <v>4</v>
      </c>
      <c r="S4" s="198">
        <v>1</v>
      </c>
      <c r="T4" s="202">
        <f>(AVERAGE(Q4, R4)*3) / IF(S4&lt;=3, 1, IF(S4&lt;=5, 2, S4/2))</f>
        <v>10.875</v>
      </c>
      <c r="U4" s="234" t="s">
        <v>861</v>
      </c>
      <c r="V4" s="78"/>
    </row>
    <row r="5" spans="1:22" ht="51" x14ac:dyDescent="0.2">
      <c r="A5" s="225">
        <v>2026</v>
      </c>
      <c r="B5" s="225" t="s">
        <v>88</v>
      </c>
      <c r="C5" s="225">
        <v>3</v>
      </c>
      <c r="D5" s="97" t="s">
        <v>728</v>
      </c>
      <c r="E5" s="225" t="s">
        <v>727</v>
      </c>
      <c r="F5" s="38">
        <v>46002</v>
      </c>
      <c r="G5" s="38" t="s">
        <v>208</v>
      </c>
      <c r="H5" s="251" t="s">
        <v>729</v>
      </c>
      <c r="I5" s="208">
        <v>24580998</v>
      </c>
      <c r="J5" s="252" t="s">
        <v>726</v>
      </c>
      <c r="K5" s="214" t="s">
        <v>17</v>
      </c>
      <c r="L5" s="214" t="s">
        <v>10</v>
      </c>
      <c r="M5" s="198" t="s">
        <v>8</v>
      </c>
      <c r="N5" s="224" t="s">
        <v>64</v>
      </c>
      <c r="O5" s="198" t="s">
        <v>63</v>
      </c>
      <c r="P5" s="198" t="s">
        <v>9</v>
      </c>
      <c r="Q5" s="201">
        <f>AVERAGE(4.8,4.7,4.8,4.8)</f>
        <v>4.7750000000000004</v>
      </c>
      <c r="R5" s="201">
        <f>AVERAGE(4,5,5,4)</f>
        <v>4.5</v>
      </c>
      <c r="S5" s="198">
        <v>3</v>
      </c>
      <c r="T5" s="202">
        <f>(AVERAGE(Q5, R5)*3) / IF(S5&lt;=3, 1, IF(S5&lt;=5, 2, S5/2))</f>
        <v>13.912500000000001</v>
      </c>
      <c r="U5" s="234" t="s">
        <v>861</v>
      </c>
      <c r="V5" s="78"/>
    </row>
    <row r="6" spans="1:22" ht="25.5" x14ac:dyDescent="0.2">
      <c r="A6" s="225">
        <v>2026</v>
      </c>
      <c r="B6" s="225" t="s">
        <v>88</v>
      </c>
      <c r="C6" s="225">
        <v>3</v>
      </c>
      <c r="D6" s="97"/>
      <c r="E6" s="225"/>
      <c r="F6" s="38"/>
      <c r="G6" s="38"/>
      <c r="H6" s="251"/>
      <c r="I6" s="233"/>
      <c r="J6" s="253" t="s">
        <v>730</v>
      </c>
      <c r="K6" s="214"/>
      <c r="L6" s="214"/>
      <c r="M6" s="198"/>
      <c r="N6" s="224"/>
      <c r="O6" s="198"/>
      <c r="P6" s="198"/>
      <c r="Q6" s="201"/>
      <c r="R6" s="201"/>
      <c r="S6" s="198"/>
      <c r="T6" s="202"/>
      <c r="U6" s="204"/>
      <c r="V6" s="78"/>
    </row>
    <row r="7" spans="1:22" ht="25.5" x14ac:dyDescent="0.2">
      <c r="A7" s="225">
        <v>2026</v>
      </c>
      <c r="B7" s="225" t="s">
        <v>88</v>
      </c>
      <c r="C7" s="225">
        <v>3</v>
      </c>
      <c r="D7" s="97"/>
      <c r="E7" s="225"/>
      <c r="F7" s="38"/>
      <c r="G7" s="38"/>
      <c r="H7" s="251"/>
      <c r="I7" s="208"/>
      <c r="J7" s="253" t="s">
        <v>731</v>
      </c>
      <c r="K7" s="214"/>
      <c r="L7" s="214"/>
      <c r="M7" s="198"/>
      <c r="N7" s="224"/>
      <c r="O7" s="198"/>
      <c r="P7" s="198"/>
      <c r="Q7" s="201"/>
      <c r="R7" s="201"/>
      <c r="S7" s="198"/>
      <c r="T7" s="202"/>
      <c r="U7" s="204"/>
      <c r="V7" s="78"/>
    </row>
    <row r="8" spans="1:22" ht="12.75" x14ac:dyDescent="0.2">
      <c r="A8" s="194"/>
      <c r="I8" s="248"/>
    </row>
    <row r="9" spans="1:22" ht="12.75" x14ac:dyDescent="0.2">
      <c r="O9" s="358" t="s">
        <v>227</v>
      </c>
      <c r="P9" s="358"/>
      <c r="Q9" s="358"/>
      <c r="R9" s="358"/>
      <c r="S9" s="358"/>
      <c r="T9" s="207">
        <f>SUM(T2:T7)</f>
        <v>31.487500000000001</v>
      </c>
    </row>
    <row r="10" spans="1:22" ht="12.75" x14ac:dyDescent="0.2"/>
    <row r="11" spans="1:22" ht="12.75" x14ac:dyDescent="0.2"/>
    <row r="12" spans="1:22" ht="12.75" x14ac:dyDescent="0.2">
      <c r="B12" s="33"/>
      <c r="C12" s="33"/>
      <c r="D12" s="34"/>
      <c r="E12" s="33"/>
      <c r="F12" s="359" t="s">
        <v>12</v>
      </c>
      <c r="G12" s="359"/>
      <c r="H12" s="359"/>
      <c r="I12" s="359"/>
      <c r="J12" s="359"/>
      <c r="K12" s="359"/>
      <c r="L12" s="359" t="s">
        <v>13</v>
      </c>
      <c r="M12" s="359"/>
      <c r="N12" s="359"/>
      <c r="O12" s="359"/>
      <c r="P12" s="359"/>
      <c r="Q12" s="359"/>
      <c r="R12" s="359"/>
      <c r="S12" s="359"/>
      <c r="T12" s="33"/>
      <c r="U12" s="33"/>
    </row>
    <row r="13" spans="1:22" ht="12.75" customHeight="1" x14ac:dyDescent="0.2">
      <c r="A13" s="33"/>
      <c r="B13" s="33"/>
      <c r="C13" s="33"/>
      <c r="D13" s="33"/>
      <c r="E13" s="33"/>
      <c r="F13" s="360" t="s">
        <v>14</v>
      </c>
      <c r="G13" s="360"/>
      <c r="H13" s="360"/>
      <c r="I13" s="360"/>
      <c r="J13" s="360"/>
      <c r="K13" s="360"/>
      <c r="L13" s="360" t="s">
        <v>18</v>
      </c>
      <c r="M13" s="360"/>
      <c r="N13" s="360"/>
      <c r="O13" s="360"/>
      <c r="P13" s="360"/>
      <c r="Q13" s="360"/>
      <c r="R13" s="360"/>
      <c r="S13" s="360"/>
      <c r="T13" s="33"/>
      <c r="U13" s="33"/>
    </row>
    <row r="14" spans="1:22" ht="12.75" customHeight="1" x14ac:dyDescent="0.2">
      <c r="A14" s="33"/>
      <c r="B14" s="33"/>
      <c r="C14" s="33"/>
      <c r="D14" s="33"/>
      <c r="E14" s="33"/>
      <c r="F14" s="356" t="s">
        <v>19</v>
      </c>
      <c r="G14" s="356"/>
      <c r="H14" s="356"/>
      <c r="I14" s="356"/>
      <c r="J14" s="356"/>
      <c r="K14" s="356"/>
      <c r="L14" s="356" t="s">
        <v>20</v>
      </c>
      <c r="M14" s="356"/>
      <c r="N14" s="356"/>
      <c r="O14" s="356"/>
      <c r="P14" s="356"/>
      <c r="Q14" s="356"/>
      <c r="R14" s="356"/>
      <c r="S14" s="356"/>
      <c r="T14" s="33"/>
      <c r="U14" s="33"/>
    </row>
    <row r="15" spans="1:22" ht="12.75" x14ac:dyDescent="0.2">
      <c r="A15" s="33"/>
      <c r="B15" s="33"/>
      <c r="C15" s="33"/>
      <c r="D15" s="33"/>
      <c r="E15" s="33"/>
      <c r="F15" s="356" t="s">
        <v>15</v>
      </c>
      <c r="G15" s="356"/>
      <c r="H15" s="356"/>
      <c r="I15" s="356"/>
      <c r="J15" s="356"/>
      <c r="K15" s="356"/>
      <c r="L15" s="357" t="s">
        <v>16</v>
      </c>
      <c r="M15" s="357"/>
      <c r="N15" s="357"/>
      <c r="O15" s="357"/>
      <c r="P15" s="357"/>
      <c r="Q15" s="357"/>
      <c r="R15" s="357"/>
      <c r="S15" s="357"/>
      <c r="T15" s="33"/>
      <c r="U15" s="33"/>
    </row>
    <row r="16" spans="1:22" ht="12.75" x14ac:dyDescent="0.2">
      <c r="A16" s="33"/>
    </row>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row r="27" ht="12.75" x14ac:dyDescent="0.2"/>
    <row r="28" ht="12.75" x14ac:dyDescent="0.2"/>
    <row r="29" ht="12.75" x14ac:dyDescent="0.2"/>
    <row r="30" ht="12.75" x14ac:dyDescent="0.2"/>
    <row r="31" ht="12.75" x14ac:dyDescent="0.2"/>
    <row r="32"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sheetData>
  <mergeCells count="9">
    <mergeCell ref="F15:K15"/>
    <mergeCell ref="O9:S9"/>
    <mergeCell ref="F12:K12"/>
    <mergeCell ref="L12:S12"/>
    <mergeCell ref="F13:K13"/>
    <mergeCell ref="F14:K14"/>
    <mergeCell ref="L14:S14"/>
    <mergeCell ref="L15:S15"/>
    <mergeCell ref="L13:S13"/>
  </mergeCells>
  <pageMargins left="0.70866141732283472" right="0.70866141732283472" top="0.74803149606299213" bottom="0.74803149606299213" header="0.31496062992125984" footer="0.31496062992125984"/>
  <pageSetup paperSize="258"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C952-2BDC-45AF-946D-3577DD700C2D}">
  <sheetPr>
    <tabColor theme="6" tint="0.59999389629810485"/>
  </sheetPr>
  <dimension ref="A1:U78"/>
  <sheetViews>
    <sheetView zoomScaleNormal="100" zoomScalePageLayoutView="80" workbookViewId="0">
      <selection sqref="A1:XFD1"/>
    </sheetView>
  </sheetViews>
  <sheetFormatPr baseColWidth="10" defaultRowHeight="12.75" x14ac:dyDescent="0.2"/>
  <cols>
    <col min="1" max="1" width="5" style="98" bestFit="1" customWidth="1"/>
    <col min="2" max="2" width="6.5703125" style="98" customWidth="1"/>
    <col min="3" max="3" width="4.28515625" style="98" customWidth="1"/>
    <col min="4" max="4" width="17.42578125" style="98" customWidth="1"/>
    <col min="5" max="5" width="12.140625" style="98" customWidth="1"/>
    <col min="6" max="6" width="13.7109375" style="98" customWidth="1"/>
    <col min="7" max="7" width="10.140625" style="98" customWidth="1"/>
    <col min="8" max="8" width="13.140625" style="98" customWidth="1"/>
    <col min="9" max="9" width="18.7109375" style="98" customWidth="1"/>
    <col min="10" max="10" width="8.5703125" style="98" customWidth="1"/>
    <col min="11" max="11" width="11.28515625" style="98" customWidth="1"/>
    <col min="12" max="12" width="7.42578125" style="98" customWidth="1"/>
    <col min="13" max="13" width="12.140625" style="98" customWidth="1"/>
    <col min="14" max="14" width="13" style="98" customWidth="1"/>
    <col min="15" max="15" width="16.85546875" style="98" customWidth="1"/>
    <col min="16" max="17" width="12.5703125" style="98" customWidth="1"/>
    <col min="18" max="18" width="9.140625" style="98" customWidth="1"/>
    <col min="19" max="19" width="11.28515625" style="98" customWidth="1"/>
    <col min="20" max="20" width="10" style="98" customWidth="1"/>
    <col min="21" max="21" width="16.5703125" style="98" bestFit="1" customWidth="1"/>
    <col min="22" max="16384" width="11.42578125" style="98"/>
  </cols>
  <sheetData>
    <row r="1" spans="1:21" ht="51" x14ac:dyDescent="0.2">
      <c r="A1" s="35" t="s">
        <v>6</v>
      </c>
      <c r="B1" s="35" t="s">
        <v>1</v>
      </c>
      <c r="C1" s="36" t="s">
        <v>5</v>
      </c>
      <c r="D1" s="35" t="s">
        <v>78</v>
      </c>
      <c r="E1" s="35" t="s">
        <v>79</v>
      </c>
      <c r="F1" s="35" t="s">
        <v>268</v>
      </c>
      <c r="G1" s="35" t="s">
        <v>39</v>
      </c>
      <c r="H1" s="35" t="s">
        <v>80</v>
      </c>
      <c r="I1" s="35" t="s">
        <v>81</v>
      </c>
      <c r="J1" s="35" t="s">
        <v>4</v>
      </c>
      <c r="K1" s="35" t="s">
        <v>82</v>
      </c>
      <c r="L1" s="35" t="s">
        <v>3</v>
      </c>
      <c r="M1" s="35" t="s">
        <v>83</v>
      </c>
      <c r="N1" s="35" t="s">
        <v>2</v>
      </c>
      <c r="O1" s="35" t="s">
        <v>84</v>
      </c>
      <c r="P1" s="35" t="s">
        <v>205</v>
      </c>
      <c r="Q1" s="35" t="s">
        <v>206</v>
      </c>
      <c r="R1" s="35" t="s">
        <v>204</v>
      </c>
      <c r="S1" s="35" t="s">
        <v>0</v>
      </c>
      <c r="T1" s="35" t="s">
        <v>270</v>
      </c>
      <c r="U1" s="35" t="s">
        <v>87</v>
      </c>
    </row>
    <row r="2" spans="1:21" ht="72.75" customHeight="1" x14ac:dyDescent="0.2">
      <c r="A2" s="234">
        <v>2026</v>
      </c>
      <c r="B2" s="234" t="s">
        <v>24</v>
      </c>
      <c r="C2" s="234">
        <v>1</v>
      </c>
      <c r="D2" s="234" t="s">
        <v>613</v>
      </c>
      <c r="E2" s="234" t="s">
        <v>612</v>
      </c>
      <c r="F2" s="255">
        <v>45814</v>
      </c>
      <c r="G2" s="255" t="s">
        <v>614</v>
      </c>
      <c r="H2" s="256">
        <v>94501347</v>
      </c>
      <c r="I2" s="257" t="s">
        <v>611</v>
      </c>
      <c r="J2" s="234" t="s">
        <v>21</v>
      </c>
      <c r="K2" s="234" t="s">
        <v>11</v>
      </c>
      <c r="L2" s="234" t="s">
        <v>8</v>
      </c>
      <c r="M2" s="234" t="s">
        <v>615</v>
      </c>
      <c r="N2" s="234" t="s">
        <v>23</v>
      </c>
      <c r="O2" s="234" t="s">
        <v>9</v>
      </c>
      <c r="P2" s="258">
        <f>AVERAGE(4.6,4.8,4.9,5)</f>
        <v>4.8249999999999993</v>
      </c>
      <c r="Q2" s="258">
        <f>AVERAGE(5,5,5,5)</f>
        <v>5</v>
      </c>
      <c r="R2" s="234">
        <v>1</v>
      </c>
      <c r="S2" s="259">
        <f>(AVERAGE(P2, Q2)*3) / IF(R2&lt;=3, 1, IF(R2&lt;=5, 2, R2/2))</f>
        <v>14.737499999999999</v>
      </c>
      <c r="T2" s="234" t="s">
        <v>861</v>
      </c>
      <c r="U2" s="234"/>
    </row>
    <row r="3" spans="1:21" ht="42" customHeight="1" x14ac:dyDescent="0.2">
      <c r="A3" s="198">
        <v>2026</v>
      </c>
      <c r="B3" s="198" t="s">
        <v>24</v>
      </c>
      <c r="C3" s="198">
        <v>2</v>
      </c>
      <c r="D3" s="198" t="s">
        <v>617</v>
      </c>
      <c r="E3" s="198" t="s">
        <v>616</v>
      </c>
      <c r="F3" s="199">
        <v>45960</v>
      </c>
      <c r="G3" s="199" t="s">
        <v>208</v>
      </c>
      <c r="H3" s="203">
        <v>52070041</v>
      </c>
      <c r="I3" s="200" t="s">
        <v>618</v>
      </c>
      <c r="J3" s="198" t="s">
        <v>21</v>
      </c>
      <c r="K3" s="198" t="s">
        <v>11</v>
      </c>
      <c r="L3" s="198" t="s">
        <v>8</v>
      </c>
      <c r="M3" s="198" t="s">
        <v>108</v>
      </c>
      <c r="N3" s="198" t="s">
        <v>25</v>
      </c>
      <c r="O3" s="198" t="s">
        <v>9</v>
      </c>
      <c r="P3" s="201">
        <f>AVERAGE(4.5,4.5,4,4.5)</f>
        <v>4.375</v>
      </c>
      <c r="Q3" s="201">
        <f>AVERAGE(3.5,3.5,5,5)</f>
        <v>4.25</v>
      </c>
      <c r="R3" s="198">
        <v>1</v>
      </c>
      <c r="S3" s="202">
        <f>(AVERAGE(P3, Q3)*3) / IF(R3&lt;=3, 1, IF(R3&lt;=5, 2, R3/2))</f>
        <v>12.9375</v>
      </c>
      <c r="T3" s="352" t="s">
        <v>861</v>
      </c>
      <c r="U3" s="198"/>
    </row>
    <row r="4" spans="1:21" ht="40.5" customHeight="1" x14ac:dyDescent="0.2">
      <c r="A4" s="198">
        <v>2026</v>
      </c>
      <c r="B4" s="198" t="s">
        <v>24</v>
      </c>
      <c r="C4" s="198">
        <v>3</v>
      </c>
      <c r="D4" s="198" t="s">
        <v>725</v>
      </c>
      <c r="E4" s="198" t="s">
        <v>724</v>
      </c>
      <c r="F4" s="199">
        <v>45964</v>
      </c>
      <c r="G4" s="199" t="s">
        <v>208</v>
      </c>
      <c r="H4" s="203">
        <v>52070041</v>
      </c>
      <c r="I4" s="200" t="s">
        <v>618</v>
      </c>
      <c r="J4" s="198" t="s">
        <v>21</v>
      </c>
      <c r="K4" s="198" t="s">
        <v>11</v>
      </c>
      <c r="L4" s="198" t="s">
        <v>8</v>
      </c>
      <c r="M4" s="198" t="s">
        <v>108</v>
      </c>
      <c r="N4" s="198" t="s">
        <v>25</v>
      </c>
      <c r="O4" s="198" t="s">
        <v>9</v>
      </c>
      <c r="P4" s="201">
        <f>AVERAGE(2.5,2.5,3,3)</f>
        <v>2.75</v>
      </c>
      <c r="Q4" s="201">
        <f>AVERAGE(3,5,5,3)</f>
        <v>4</v>
      </c>
      <c r="R4" s="198">
        <v>1</v>
      </c>
      <c r="S4" s="202">
        <f>(AVERAGE(P4, Q4)*3) / IF(R4&lt;=3, 1, IF(R4&lt;=5, 2, R4/2))</f>
        <v>10.125</v>
      </c>
      <c r="T4" s="234" t="s">
        <v>861</v>
      </c>
      <c r="U4" s="198"/>
    </row>
    <row r="5" spans="1:21" ht="160.5" customHeight="1" x14ac:dyDescent="0.2">
      <c r="A5" s="198">
        <v>2026</v>
      </c>
      <c r="B5" s="198" t="s">
        <v>24</v>
      </c>
      <c r="C5" s="198">
        <v>4</v>
      </c>
      <c r="D5" s="198" t="s">
        <v>637</v>
      </c>
      <c r="E5" s="198" t="s">
        <v>638</v>
      </c>
      <c r="F5" s="199">
        <v>45988</v>
      </c>
      <c r="G5" s="199" t="s">
        <v>639</v>
      </c>
      <c r="H5" s="203">
        <v>7559351</v>
      </c>
      <c r="I5" s="200" t="s">
        <v>640</v>
      </c>
      <c r="J5" s="198" t="s">
        <v>21</v>
      </c>
      <c r="K5" s="198" t="s">
        <v>11</v>
      </c>
      <c r="L5" s="198" t="s">
        <v>8</v>
      </c>
      <c r="M5" s="198" t="s">
        <v>125</v>
      </c>
      <c r="N5" s="198" t="s">
        <v>198</v>
      </c>
      <c r="O5" s="198" t="s">
        <v>9</v>
      </c>
      <c r="P5" s="201">
        <f>AVERAGE(5,5,4.5,5)</f>
        <v>4.875</v>
      </c>
      <c r="Q5" s="201">
        <f>AVERAGE(3.5,3.5,3.5,4.3)</f>
        <v>3.7</v>
      </c>
      <c r="R5" s="198">
        <v>35</v>
      </c>
      <c r="S5" s="202">
        <f>(AVERAGE(P5, Q5)*3) / IF(R5&lt;=3, 1, IF(R5&lt;=5, 2, R5/2))</f>
        <v>0.73499999999999999</v>
      </c>
      <c r="T5" s="234" t="s">
        <v>861</v>
      </c>
      <c r="U5" s="198"/>
    </row>
    <row r="6" spans="1:21" ht="42" customHeight="1" x14ac:dyDescent="0.2">
      <c r="A6" s="198">
        <v>2026</v>
      </c>
      <c r="B6" s="198" t="s">
        <v>24</v>
      </c>
      <c r="C6" s="350">
        <v>4</v>
      </c>
      <c r="D6" s="198"/>
      <c r="E6" s="198"/>
      <c r="F6" s="199"/>
      <c r="G6" s="199"/>
      <c r="H6" s="203"/>
      <c r="I6" s="198" t="s">
        <v>642</v>
      </c>
      <c r="J6" s="198"/>
      <c r="K6" s="198"/>
      <c r="L6" s="198"/>
      <c r="M6" s="198"/>
      <c r="N6" s="198"/>
      <c r="O6" s="254" t="s">
        <v>9</v>
      </c>
      <c r="P6" s="201"/>
      <c r="Q6" s="201"/>
      <c r="R6" s="198"/>
      <c r="S6" s="202"/>
      <c r="T6" s="352"/>
      <c r="U6" s="198"/>
    </row>
    <row r="7" spans="1:21" ht="40.5" customHeight="1" x14ac:dyDescent="0.2">
      <c r="A7" s="198">
        <v>2026</v>
      </c>
      <c r="B7" s="198" t="s">
        <v>24</v>
      </c>
      <c r="C7" s="350">
        <v>4</v>
      </c>
      <c r="D7" s="198"/>
      <c r="E7" s="198"/>
      <c r="F7" s="199"/>
      <c r="G7" s="199"/>
      <c r="H7" s="203"/>
      <c r="I7" s="198" t="s">
        <v>643</v>
      </c>
      <c r="J7" s="198"/>
      <c r="K7" s="198"/>
      <c r="L7" s="198"/>
      <c r="M7" s="198"/>
      <c r="N7" s="198"/>
      <c r="O7" s="254" t="s">
        <v>594</v>
      </c>
      <c r="P7" s="201"/>
      <c r="Q7" s="201"/>
      <c r="R7" s="198"/>
      <c r="S7" s="202"/>
      <c r="T7" s="352"/>
      <c r="U7" s="198"/>
    </row>
    <row r="8" spans="1:21" x14ac:dyDescent="0.2">
      <c r="A8" s="198">
        <v>2026</v>
      </c>
      <c r="B8" s="198" t="s">
        <v>24</v>
      </c>
      <c r="C8" s="350">
        <v>4</v>
      </c>
      <c r="D8" s="198"/>
      <c r="E8" s="198"/>
      <c r="F8" s="199"/>
      <c r="G8" s="199"/>
      <c r="H8" s="203"/>
      <c r="I8" s="198" t="s">
        <v>641</v>
      </c>
      <c r="J8" s="198"/>
      <c r="K8" s="198"/>
      <c r="L8" s="198"/>
      <c r="M8" s="198"/>
      <c r="N8" s="198"/>
      <c r="O8" s="254" t="s">
        <v>649</v>
      </c>
      <c r="P8" s="201"/>
      <c r="Q8" s="201"/>
      <c r="R8" s="198"/>
      <c r="S8" s="202"/>
      <c r="T8" s="352"/>
      <c r="U8" s="198"/>
    </row>
    <row r="9" spans="1:21" ht="23.25" customHeight="1" x14ac:dyDescent="0.2">
      <c r="A9" s="198">
        <v>2026</v>
      </c>
      <c r="B9" s="198" t="s">
        <v>24</v>
      </c>
      <c r="C9" s="350">
        <v>4</v>
      </c>
      <c r="D9" s="198"/>
      <c r="E9" s="198"/>
      <c r="F9" s="199"/>
      <c r="G9" s="199"/>
      <c r="H9" s="203"/>
      <c r="I9" s="198" t="s">
        <v>644</v>
      </c>
      <c r="J9" s="198"/>
      <c r="K9" s="198"/>
      <c r="L9" s="198"/>
      <c r="M9" s="198"/>
      <c r="N9" s="198"/>
      <c r="O9" s="254" t="s">
        <v>649</v>
      </c>
      <c r="P9" s="201"/>
      <c r="Q9" s="201"/>
      <c r="R9" s="198"/>
      <c r="S9" s="202"/>
      <c r="T9" s="352"/>
      <c r="U9" s="198"/>
    </row>
    <row r="10" spans="1:21" x14ac:dyDescent="0.2">
      <c r="A10" s="198">
        <v>2026</v>
      </c>
      <c r="B10" s="198" t="s">
        <v>24</v>
      </c>
      <c r="C10" s="350">
        <v>4</v>
      </c>
      <c r="D10" s="198"/>
      <c r="E10" s="198"/>
      <c r="F10" s="199"/>
      <c r="G10" s="199"/>
      <c r="H10" s="203"/>
      <c r="I10" s="198" t="s">
        <v>645</v>
      </c>
      <c r="J10" s="198"/>
      <c r="K10" s="198"/>
      <c r="L10" s="198"/>
      <c r="M10" s="198"/>
      <c r="N10" s="198"/>
      <c r="O10" s="254" t="s">
        <v>651</v>
      </c>
      <c r="P10" s="201"/>
      <c r="Q10" s="201"/>
      <c r="R10" s="198"/>
      <c r="S10" s="202"/>
      <c r="T10" s="352"/>
      <c r="U10" s="198"/>
    </row>
    <row r="11" spans="1:21" x14ac:dyDescent="0.2">
      <c r="A11" s="198">
        <v>2026</v>
      </c>
      <c r="B11" s="198" t="s">
        <v>24</v>
      </c>
      <c r="C11" s="350">
        <v>4</v>
      </c>
      <c r="D11" s="198"/>
      <c r="E11" s="198"/>
      <c r="F11" s="199"/>
      <c r="G11" s="199"/>
      <c r="H11" s="203"/>
      <c r="I11" s="198" t="s">
        <v>646</v>
      </c>
      <c r="J11" s="198"/>
      <c r="K11" s="198"/>
      <c r="L11" s="198"/>
      <c r="M11" s="198"/>
      <c r="N11" s="198"/>
      <c r="O11" s="254" t="s">
        <v>650</v>
      </c>
      <c r="P11" s="201"/>
      <c r="Q11" s="201"/>
      <c r="R11" s="198"/>
      <c r="S11" s="202"/>
      <c r="T11" s="352"/>
      <c r="U11" s="198"/>
    </row>
    <row r="12" spans="1:21" x14ac:dyDescent="0.2">
      <c r="A12" s="198">
        <v>2026</v>
      </c>
      <c r="B12" s="198" t="s">
        <v>24</v>
      </c>
      <c r="C12" s="350">
        <v>4</v>
      </c>
      <c r="D12" s="198"/>
      <c r="E12" s="198"/>
      <c r="F12" s="199"/>
      <c r="G12" s="199"/>
      <c r="H12" s="203"/>
      <c r="I12" s="198" t="s">
        <v>647</v>
      </c>
      <c r="J12" s="198"/>
      <c r="K12" s="198"/>
      <c r="L12" s="198"/>
      <c r="M12" s="198"/>
      <c r="N12" s="198"/>
      <c r="O12" s="254" t="s">
        <v>652</v>
      </c>
      <c r="P12" s="201"/>
      <c r="Q12" s="201"/>
      <c r="R12" s="198"/>
      <c r="S12" s="202"/>
      <c r="T12" s="352"/>
      <c r="U12" s="198"/>
    </row>
    <row r="13" spans="1:21" x14ac:dyDescent="0.2">
      <c r="A13" s="198">
        <v>2026</v>
      </c>
      <c r="B13" s="198" t="s">
        <v>24</v>
      </c>
      <c r="C13" s="350">
        <v>4</v>
      </c>
      <c r="D13" s="198"/>
      <c r="E13" s="198"/>
      <c r="F13" s="199"/>
      <c r="G13" s="199"/>
      <c r="H13" s="203"/>
      <c r="I13" s="198" t="s">
        <v>648</v>
      </c>
      <c r="J13" s="198"/>
      <c r="K13" s="198"/>
      <c r="L13" s="198"/>
      <c r="M13" s="198"/>
      <c r="N13" s="198"/>
      <c r="O13" s="254" t="s">
        <v>652</v>
      </c>
      <c r="P13" s="201"/>
      <c r="Q13" s="201"/>
      <c r="R13" s="198"/>
      <c r="S13" s="202"/>
      <c r="T13" s="352"/>
      <c r="U13" s="198"/>
    </row>
    <row r="14" spans="1:21" x14ac:dyDescent="0.2">
      <c r="A14" s="198">
        <v>2026</v>
      </c>
      <c r="B14" s="198" t="s">
        <v>24</v>
      </c>
      <c r="C14" s="350">
        <v>4</v>
      </c>
      <c r="D14" s="198"/>
      <c r="E14" s="198"/>
      <c r="F14" s="199"/>
      <c r="G14" s="199"/>
      <c r="H14" s="203"/>
      <c r="I14" s="198" t="s">
        <v>653</v>
      </c>
      <c r="J14" s="198"/>
      <c r="K14" s="198"/>
      <c r="L14" s="198"/>
      <c r="M14" s="198"/>
      <c r="N14" s="198"/>
      <c r="O14" s="254" t="s">
        <v>657</v>
      </c>
      <c r="P14" s="201"/>
      <c r="Q14" s="201"/>
      <c r="R14" s="198"/>
      <c r="S14" s="202"/>
      <c r="T14" s="352"/>
      <c r="U14" s="198"/>
    </row>
    <row r="15" spans="1:21" x14ac:dyDescent="0.2">
      <c r="A15" s="198">
        <v>2026</v>
      </c>
      <c r="B15" s="198" t="s">
        <v>24</v>
      </c>
      <c r="C15" s="350">
        <v>4</v>
      </c>
      <c r="D15" s="198"/>
      <c r="E15" s="198"/>
      <c r="F15" s="199"/>
      <c r="G15" s="199"/>
      <c r="H15" s="203"/>
      <c r="I15" s="198" t="s">
        <v>654</v>
      </c>
      <c r="J15" s="198"/>
      <c r="K15" s="198"/>
      <c r="L15" s="198"/>
      <c r="M15" s="198"/>
      <c r="N15" s="198"/>
      <c r="O15" s="254" t="s">
        <v>657</v>
      </c>
      <c r="P15" s="201"/>
      <c r="Q15" s="201"/>
      <c r="R15" s="198"/>
      <c r="S15" s="202"/>
      <c r="T15" s="352"/>
      <c r="U15" s="198"/>
    </row>
    <row r="16" spans="1:21" x14ac:dyDescent="0.2">
      <c r="A16" s="198">
        <v>2026</v>
      </c>
      <c r="B16" s="198" t="s">
        <v>24</v>
      </c>
      <c r="C16" s="350">
        <v>4</v>
      </c>
      <c r="D16" s="198"/>
      <c r="E16" s="198"/>
      <c r="F16" s="199"/>
      <c r="G16" s="199"/>
      <c r="H16" s="203"/>
      <c r="I16" s="198" t="s">
        <v>655</v>
      </c>
      <c r="J16" s="198"/>
      <c r="K16" s="198"/>
      <c r="L16" s="198"/>
      <c r="M16" s="198"/>
      <c r="N16" s="198"/>
      <c r="O16" s="254" t="s">
        <v>658</v>
      </c>
      <c r="P16" s="201"/>
      <c r="Q16" s="201"/>
      <c r="R16" s="198"/>
      <c r="S16" s="202"/>
      <c r="T16" s="352"/>
      <c r="U16" s="198"/>
    </row>
    <row r="17" spans="1:21" x14ac:dyDescent="0.2">
      <c r="A17" s="198">
        <v>2026</v>
      </c>
      <c r="B17" s="198" t="s">
        <v>24</v>
      </c>
      <c r="C17" s="350">
        <v>4</v>
      </c>
      <c r="D17" s="198"/>
      <c r="E17" s="198"/>
      <c r="F17" s="199"/>
      <c r="G17" s="199"/>
      <c r="H17" s="203"/>
      <c r="I17" s="198" t="s">
        <v>656</v>
      </c>
      <c r="J17" s="198"/>
      <c r="K17" s="198"/>
      <c r="L17" s="198"/>
      <c r="M17" s="198"/>
      <c r="N17" s="198"/>
      <c r="O17" s="254" t="s">
        <v>659</v>
      </c>
      <c r="P17" s="201"/>
      <c r="Q17" s="201"/>
      <c r="R17" s="198"/>
      <c r="S17" s="202"/>
      <c r="T17" s="352"/>
      <c r="U17" s="198"/>
    </row>
    <row r="18" spans="1:21" ht="25.5" x14ac:dyDescent="0.2">
      <c r="A18" s="198">
        <v>2026</v>
      </c>
      <c r="B18" s="198" t="s">
        <v>24</v>
      </c>
      <c r="C18" s="350">
        <v>4</v>
      </c>
      <c r="D18" s="198"/>
      <c r="E18" s="198"/>
      <c r="F18" s="199"/>
      <c r="G18" s="199"/>
      <c r="H18" s="203"/>
      <c r="I18" s="198" t="s">
        <v>660</v>
      </c>
      <c r="J18" s="198"/>
      <c r="K18" s="198"/>
      <c r="L18" s="198"/>
      <c r="M18" s="198"/>
      <c r="N18" s="198"/>
      <c r="O18" s="254" t="s">
        <v>663</v>
      </c>
      <c r="P18" s="201"/>
      <c r="Q18" s="201"/>
      <c r="R18" s="198"/>
      <c r="S18" s="202"/>
      <c r="T18" s="352"/>
      <c r="U18" s="198"/>
    </row>
    <row r="19" spans="1:21" ht="25.5" x14ac:dyDescent="0.2">
      <c r="A19" s="198">
        <v>2026</v>
      </c>
      <c r="B19" s="198" t="s">
        <v>24</v>
      </c>
      <c r="C19" s="350">
        <v>4</v>
      </c>
      <c r="D19" s="198"/>
      <c r="E19" s="198"/>
      <c r="F19" s="199"/>
      <c r="G19" s="199"/>
      <c r="H19" s="203"/>
      <c r="I19" s="198" t="s">
        <v>661</v>
      </c>
      <c r="J19" s="198"/>
      <c r="K19" s="198"/>
      <c r="L19" s="198"/>
      <c r="M19" s="198"/>
      <c r="N19" s="198"/>
      <c r="O19" s="254" t="s">
        <v>663</v>
      </c>
      <c r="P19" s="201"/>
      <c r="Q19" s="201"/>
      <c r="R19" s="198"/>
      <c r="S19" s="202"/>
      <c r="T19" s="352"/>
      <c r="U19" s="198"/>
    </row>
    <row r="20" spans="1:21" ht="25.5" x14ac:dyDescent="0.2">
      <c r="A20" s="198">
        <v>2026</v>
      </c>
      <c r="B20" s="198" t="s">
        <v>24</v>
      </c>
      <c r="C20" s="350">
        <v>4</v>
      </c>
      <c r="D20" s="198"/>
      <c r="E20" s="198"/>
      <c r="F20" s="199"/>
      <c r="G20" s="199"/>
      <c r="H20" s="203"/>
      <c r="I20" s="198" t="s">
        <v>662</v>
      </c>
      <c r="J20" s="198"/>
      <c r="K20" s="198"/>
      <c r="L20" s="198"/>
      <c r="M20" s="198"/>
      <c r="N20" s="198"/>
      <c r="O20" s="254" t="s">
        <v>664</v>
      </c>
      <c r="P20" s="201"/>
      <c r="Q20" s="201"/>
      <c r="R20" s="198"/>
      <c r="S20" s="202"/>
      <c r="T20" s="352"/>
      <c r="U20" s="198"/>
    </row>
    <row r="21" spans="1:21" x14ac:dyDescent="0.2">
      <c r="A21" s="198">
        <v>2026</v>
      </c>
      <c r="B21" s="198" t="s">
        <v>24</v>
      </c>
      <c r="C21" s="350">
        <v>4</v>
      </c>
      <c r="D21" s="198"/>
      <c r="E21" s="198"/>
      <c r="F21" s="199"/>
      <c r="G21" s="199"/>
      <c r="H21" s="203"/>
      <c r="I21" s="198" t="s">
        <v>665</v>
      </c>
      <c r="J21" s="198"/>
      <c r="K21" s="198"/>
      <c r="L21" s="198"/>
      <c r="M21" s="198"/>
      <c r="N21" s="198"/>
      <c r="O21" s="254" t="s">
        <v>684</v>
      </c>
      <c r="P21" s="201"/>
      <c r="Q21" s="201"/>
      <c r="R21" s="198"/>
      <c r="S21" s="202"/>
      <c r="T21" s="352"/>
      <c r="U21" s="198"/>
    </row>
    <row r="22" spans="1:21" x14ac:dyDescent="0.2">
      <c r="A22" s="198">
        <v>2026</v>
      </c>
      <c r="B22" s="198" t="s">
        <v>24</v>
      </c>
      <c r="C22" s="350">
        <v>4</v>
      </c>
      <c r="D22" s="198"/>
      <c r="E22" s="198"/>
      <c r="F22" s="199"/>
      <c r="G22" s="199"/>
      <c r="H22" s="203"/>
      <c r="I22" s="198" t="s">
        <v>666</v>
      </c>
      <c r="J22" s="198"/>
      <c r="K22" s="198"/>
      <c r="L22" s="198"/>
      <c r="M22" s="198"/>
      <c r="N22" s="198"/>
      <c r="O22" s="254" t="s">
        <v>732</v>
      </c>
      <c r="P22" s="201"/>
      <c r="Q22" s="201"/>
      <c r="R22" s="198"/>
      <c r="S22" s="202"/>
      <c r="T22" s="352"/>
      <c r="U22" s="198"/>
    </row>
    <row r="23" spans="1:21" x14ac:dyDescent="0.2">
      <c r="A23" s="198">
        <v>2026</v>
      </c>
      <c r="B23" s="198" t="s">
        <v>24</v>
      </c>
      <c r="C23" s="350">
        <v>4</v>
      </c>
      <c r="D23" s="198"/>
      <c r="E23" s="198"/>
      <c r="F23" s="199"/>
      <c r="G23" s="199"/>
      <c r="H23" s="203"/>
      <c r="I23" s="198" t="s">
        <v>667</v>
      </c>
      <c r="J23" s="198"/>
      <c r="K23" s="198"/>
      <c r="L23" s="198"/>
      <c r="M23" s="198"/>
      <c r="N23" s="198"/>
      <c r="O23" s="254" t="s">
        <v>685</v>
      </c>
      <c r="P23" s="201"/>
      <c r="Q23" s="201"/>
      <c r="R23" s="198"/>
      <c r="S23" s="202"/>
      <c r="T23" s="352"/>
      <c r="U23" s="198"/>
    </row>
    <row r="24" spans="1:21" x14ac:dyDescent="0.2">
      <c r="A24" s="198">
        <v>2026</v>
      </c>
      <c r="B24" s="198" t="s">
        <v>24</v>
      </c>
      <c r="C24" s="350">
        <v>4</v>
      </c>
      <c r="D24" s="198"/>
      <c r="E24" s="198"/>
      <c r="F24" s="199"/>
      <c r="G24" s="199"/>
      <c r="H24" s="203"/>
      <c r="I24" s="198" t="s">
        <v>668</v>
      </c>
      <c r="J24" s="198"/>
      <c r="K24" s="198"/>
      <c r="L24" s="198"/>
      <c r="M24" s="198"/>
      <c r="N24" s="198"/>
      <c r="O24" s="254" t="s">
        <v>684</v>
      </c>
      <c r="P24" s="201"/>
      <c r="Q24" s="201"/>
      <c r="R24" s="198"/>
      <c r="S24" s="202"/>
      <c r="T24" s="352"/>
      <c r="U24" s="198"/>
    </row>
    <row r="25" spans="1:21" ht="27" customHeight="1" x14ac:dyDescent="0.2">
      <c r="A25" s="198">
        <v>2026</v>
      </c>
      <c r="B25" s="198" t="s">
        <v>24</v>
      </c>
      <c r="C25" s="350">
        <v>4</v>
      </c>
      <c r="D25" s="198"/>
      <c r="E25" s="198"/>
      <c r="F25" s="199"/>
      <c r="G25" s="199"/>
      <c r="H25" s="203"/>
      <c r="I25" s="198" t="s">
        <v>669</v>
      </c>
      <c r="J25" s="198"/>
      <c r="K25" s="198"/>
      <c r="L25" s="198"/>
      <c r="M25" s="198"/>
      <c r="N25" s="198"/>
      <c r="O25" s="254" t="s">
        <v>684</v>
      </c>
      <c r="P25" s="201"/>
      <c r="Q25" s="201"/>
      <c r="R25" s="198"/>
      <c r="S25" s="202"/>
      <c r="T25" s="352"/>
      <c r="U25" s="198"/>
    </row>
    <row r="26" spans="1:21" x14ac:dyDescent="0.2">
      <c r="A26" s="198">
        <v>2026</v>
      </c>
      <c r="B26" s="198" t="s">
        <v>24</v>
      </c>
      <c r="C26" s="350">
        <v>4</v>
      </c>
      <c r="D26" s="198"/>
      <c r="E26" s="198"/>
      <c r="F26" s="199"/>
      <c r="G26" s="199"/>
      <c r="H26" s="203"/>
      <c r="I26" s="198" t="s">
        <v>670</v>
      </c>
      <c r="J26" s="198"/>
      <c r="K26" s="198"/>
      <c r="L26" s="198"/>
      <c r="M26" s="198"/>
      <c r="N26" s="198"/>
      <c r="O26" s="254" t="s">
        <v>684</v>
      </c>
      <c r="P26" s="201"/>
      <c r="Q26" s="201"/>
      <c r="R26" s="198"/>
      <c r="S26" s="202"/>
      <c r="T26" s="352"/>
      <c r="U26" s="198"/>
    </row>
    <row r="27" spans="1:21" x14ac:dyDescent="0.2">
      <c r="A27" s="198">
        <v>2026</v>
      </c>
      <c r="B27" s="198" t="s">
        <v>24</v>
      </c>
      <c r="C27" s="350">
        <v>4</v>
      </c>
      <c r="D27" s="198"/>
      <c r="E27" s="198"/>
      <c r="F27" s="199"/>
      <c r="G27" s="199"/>
      <c r="H27" s="203"/>
      <c r="I27" s="198" t="s">
        <v>671</v>
      </c>
      <c r="J27" s="198"/>
      <c r="K27" s="198"/>
      <c r="L27" s="198"/>
      <c r="M27" s="198"/>
      <c r="N27" s="198"/>
      <c r="O27" s="254" t="s">
        <v>684</v>
      </c>
      <c r="P27" s="201"/>
      <c r="Q27" s="201"/>
      <c r="R27" s="198"/>
      <c r="S27" s="202"/>
      <c r="T27" s="352"/>
      <c r="U27" s="198"/>
    </row>
    <row r="28" spans="1:21" x14ac:dyDescent="0.2">
      <c r="A28" s="198">
        <v>2026</v>
      </c>
      <c r="B28" s="198" t="s">
        <v>24</v>
      </c>
      <c r="C28" s="350">
        <v>4</v>
      </c>
      <c r="D28" s="198"/>
      <c r="E28" s="198"/>
      <c r="F28" s="199"/>
      <c r="G28" s="199"/>
      <c r="H28" s="203"/>
      <c r="I28" s="198" t="s">
        <v>672</v>
      </c>
      <c r="J28" s="198"/>
      <c r="K28" s="198"/>
      <c r="L28" s="198"/>
      <c r="M28" s="198"/>
      <c r="N28" s="198"/>
      <c r="O28" s="254" t="s">
        <v>684</v>
      </c>
      <c r="P28" s="201"/>
      <c r="Q28" s="201"/>
      <c r="R28" s="198"/>
      <c r="S28" s="202"/>
      <c r="T28" s="352"/>
      <c r="U28" s="198"/>
    </row>
    <row r="29" spans="1:21" x14ac:dyDescent="0.2">
      <c r="A29" s="198">
        <v>2026</v>
      </c>
      <c r="B29" s="198" t="s">
        <v>24</v>
      </c>
      <c r="C29" s="350">
        <v>4</v>
      </c>
      <c r="D29" s="198"/>
      <c r="E29" s="198"/>
      <c r="F29" s="199"/>
      <c r="G29" s="199"/>
      <c r="H29" s="203"/>
      <c r="I29" s="198" t="s">
        <v>673</v>
      </c>
      <c r="J29" s="198"/>
      <c r="K29" s="198"/>
      <c r="L29" s="198"/>
      <c r="M29" s="198"/>
      <c r="N29" s="198"/>
      <c r="O29" s="254" t="s">
        <v>684</v>
      </c>
      <c r="P29" s="201"/>
      <c r="Q29" s="201"/>
      <c r="R29" s="198"/>
      <c r="S29" s="202"/>
      <c r="T29" s="352"/>
      <c r="U29" s="198"/>
    </row>
    <row r="30" spans="1:21" ht="25.5" x14ac:dyDescent="0.2">
      <c r="A30" s="198">
        <v>2026</v>
      </c>
      <c r="B30" s="198" t="s">
        <v>24</v>
      </c>
      <c r="C30" s="350">
        <v>4</v>
      </c>
      <c r="D30" s="198"/>
      <c r="E30" s="198"/>
      <c r="F30" s="199"/>
      <c r="G30" s="199"/>
      <c r="H30" s="203"/>
      <c r="I30" s="198" t="s">
        <v>674</v>
      </c>
      <c r="J30" s="198"/>
      <c r="K30" s="198"/>
      <c r="L30" s="198"/>
      <c r="M30" s="198"/>
      <c r="N30" s="198"/>
      <c r="O30" s="254" t="s">
        <v>686</v>
      </c>
      <c r="P30" s="201"/>
      <c r="Q30" s="201"/>
      <c r="R30" s="198"/>
      <c r="S30" s="202"/>
      <c r="T30" s="352"/>
      <c r="U30" s="198"/>
    </row>
    <row r="31" spans="1:21" x14ac:dyDescent="0.2">
      <c r="A31" s="198">
        <v>2026</v>
      </c>
      <c r="B31" s="198" t="s">
        <v>24</v>
      </c>
      <c r="C31" s="350">
        <v>4</v>
      </c>
      <c r="D31" s="198"/>
      <c r="E31" s="198"/>
      <c r="F31" s="199"/>
      <c r="G31" s="199"/>
      <c r="H31" s="203"/>
      <c r="I31" s="198" t="s">
        <v>675</v>
      </c>
      <c r="J31" s="198"/>
      <c r="K31" s="198"/>
      <c r="L31" s="198"/>
      <c r="M31" s="198"/>
      <c r="N31" s="198"/>
      <c r="O31" s="254" t="s">
        <v>687</v>
      </c>
      <c r="P31" s="201"/>
      <c r="Q31" s="201"/>
      <c r="R31" s="198"/>
      <c r="S31" s="202"/>
      <c r="T31" s="352"/>
      <c r="U31" s="198"/>
    </row>
    <row r="32" spans="1:21" x14ac:dyDescent="0.2">
      <c r="A32" s="198">
        <v>2026</v>
      </c>
      <c r="B32" s="198" t="s">
        <v>24</v>
      </c>
      <c r="C32" s="350">
        <v>4</v>
      </c>
      <c r="D32" s="198"/>
      <c r="E32" s="198"/>
      <c r="F32" s="199"/>
      <c r="G32" s="199"/>
      <c r="H32" s="203"/>
      <c r="I32" s="198" t="s">
        <v>676</v>
      </c>
      <c r="J32" s="198"/>
      <c r="K32" s="198"/>
      <c r="L32" s="198"/>
      <c r="M32" s="198"/>
      <c r="N32" s="198"/>
      <c r="O32" s="254" t="s">
        <v>688</v>
      </c>
      <c r="P32" s="201"/>
      <c r="Q32" s="201"/>
      <c r="R32" s="198"/>
      <c r="S32" s="202"/>
      <c r="T32" s="352"/>
      <c r="U32" s="198"/>
    </row>
    <row r="33" spans="1:21" ht="26.25" customHeight="1" x14ac:dyDescent="0.2">
      <c r="A33" s="198">
        <v>2026</v>
      </c>
      <c r="B33" s="198" t="s">
        <v>24</v>
      </c>
      <c r="C33" s="350">
        <v>4</v>
      </c>
      <c r="D33" s="198"/>
      <c r="E33" s="198"/>
      <c r="F33" s="199"/>
      <c r="G33" s="199"/>
      <c r="H33" s="203"/>
      <c r="I33" s="198" t="s">
        <v>677</v>
      </c>
      <c r="J33" s="198"/>
      <c r="K33" s="198"/>
      <c r="L33" s="198"/>
      <c r="M33" s="198"/>
      <c r="N33" s="198"/>
      <c r="O33" s="254" t="s">
        <v>688</v>
      </c>
      <c r="P33" s="201"/>
      <c r="Q33" s="201"/>
      <c r="R33" s="198"/>
      <c r="S33" s="202"/>
      <c r="T33" s="352"/>
      <c r="U33" s="198"/>
    </row>
    <row r="34" spans="1:21" ht="25.5" x14ac:dyDescent="0.2">
      <c r="A34" s="198">
        <v>2026</v>
      </c>
      <c r="B34" s="198" t="s">
        <v>24</v>
      </c>
      <c r="C34" s="350">
        <v>4</v>
      </c>
      <c r="D34" s="198"/>
      <c r="E34" s="198"/>
      <c r="F34" s="199"/>
      <c r="G34" s="199"/>
      <c r="H34" s="203"/>
      <c r="I34" s="198" t="s">
        <v>678</v>
      </c>
      <c r="J34" s="198"/>
      <c r="K34" s="198"/>
      <c r="L34" s="198"/>
      <c r="M34" s="198"/>
      <c r="N34" s="198"/>
      <c r="O34" s="254" t="s">
        <v>689</v>
      </c>
      <c r="P34" s="201"/>
      <c r="Q34" s="201"/>
      <c r="R34" s="198"/>
      <c r="S34" s="202"/>
      <c r="T34" s="352"/>
      <c r="U34" s="198"/>
    </row>
    <row r="35" spans="1:21" ht="25.5" x14ac:dyDescent="0.2">
      <c r="A35" s="198">
        <v>2026</v>
      </c>
      <c r="B35" s="198" t="s">
        <v>24</v>
      </c>
      <c r="C35" s="350">
        <v>4</v>
      </c>
      <c r="D35" s="198"/>
      <c r="E35" s="198"/>
      <c r="F35" s="199"/>
      <c r="G35" s="199"/>
      <c r="H35" s="203"/>
      <c r="I35" s="198" t="s">
        <v>679</v>
      </c>
      <c r="J35" s="198"/>
      <c r="K35" s="198"/>
      <c r="L35" s="198"/>
      <c r="M35" s="198"/>
      <c r="N35" s="198"/>
      <c r="O35" s="254" t="s">
        <v>689</v>
      </c>
      <c r="P35" s="201"/>
      <c r="Q35" s="201"/>
      <c r="R35" s="198"/>
      <c r="S35" s="202"/>
      <c r="T35" s="352"/>
      <c r="U35" s="198"/>
    </row>
    <row r="36" spans="1:21" ht="25.5" x14ac:dyDescent="0.2">
      <c r="A36" s="198">
        <v>2026</v>
      </c>
      <c r="B36" s="198" t="s">
        <v>24</v>
      </c>
      <c r="C36" s="350">
        <v>4</v>
      </c>
      <c r="D36" s="198"/>
      <c r="E36" s="198"/>
      <c r="F36" s="199"/>
      <c r="G36" s="199"/>
      <c r="H36" s="203"/>
      <c r="I36" s="198" t="s">
        <v>680</v>
      </c>
      <c r="J36" s="198"/>
      <c r="K36" s="198"/>
      <c r="L36" s="198"/>
      <c r="M36" s="198"/>
      <c r="N36" s="198"/>
      <c r="O36" s="254" t="s">
        <v>689</v>
      </c>
      <c r="P36" s="201"/>
      <c r="Q36" s="201"/>
      <c r="R36" s="198"/>
      <c r="S36" s="202"/>
      <c r="T36" s="352"/>
      <c r="U36" s="198"/>
    </row>
    <row r="37" spans="1:21" ht="12.75" customHeight="1" x14ac:dyDescent="0.2">
      <c r="A37" s="198">
        <v>2026</v>
      </c>
      <c r="B37" s="198" t="s">
        <v>24</v>
      </c>
      <c r="C37" s="350">
        <v>4</v>
      </c>
      <c r="D37" s="198"/>
      <c r="E37" s="198"/>
      <c r="F37" s="199"/>
      <c r="G37" s="199"/>
      <c r="H37" s="203"/>
      <c r="I37" s="198" t="s">
        <v>681</v>
      </c>
      <c r="J37" s="198"/>
      <c r="K37" s="198"/>
      <c r="L37" s="198"/>
      <c r="M37" s="198"/>
      <c r="N37" s="198"/>
      <c r="O37" s="254" t="s">
        <v>689</v>
      </c>
      <c r="P37" s="201"/>
      <c r="Q37" s="201"/>
      <c r="R37" s="198"/>
      <c r="S37" s="202"/>
      <c r="T37" s="352"/>
      <c r="U37" s="198"/>
    </row>
    <row r="38" spans="1:21" ht="12.75" customHeight="1" x14ac:dyDescent="0.2">
      <c r="A38" s="198">
        <v>2026</v>
      </c>
      <c r="B38" s="198" t="s">
        <v>24</v>
      </c>
      <c r="C38" s="350">
        <v>4</v>
      </c>
      <c r="D38" s="198"/>
      <c r="E38" s="198"/>
      <c r="F38" s="199"/>
      <c r="G38" s="199"/>
      <c r="H38" s="203"/>
      <c r="I38" s="198" t="s">
        <v>682</v>
      </c>
      <c r="J38" s="198"/>
      <c r="K38" s="198"/>
      <c r="L38" s="198"/>
      <c r="M38" s="198"/>
      <c r="N38" s="198"/>
      <c r="O38" s="254" t="s">
        <v>689</v>
      </c>
      <c r="P38" s="201"/>
      <c r="Q38" s="201"/>
      <c r="R38" s="198"/>
      <c r="S38" s="202"/>
      <c r="T38" s="352"/>
      <c r="U38" s="198"/>
    </row>
    <row r="39" spans="1:21" ht="12.75" customHeight="1" x14ac:dyDescent="0.2">
      <c r="A39" s="198">
        <v>2026</v>
      </c>
      <c r="B39" s="198" t="s">
        <v>24</v>
      </c>
      <c r="C39" s="350">
        <v>4</v>
      </c>
      <c r="D39" s="198"/>
      <c r="E39" s="198"/>
      <c r="F39" s="199"/>
      <c r="G39" s="199"/>
      <c r="H39" s="203"/>
      <c r="I39" s="198" t="s">
        <v>683</v>
      </c>
      <c r="J39" s="198"/>
      <c r="K39" s="198"/>
      <c r="L39" s="198"/>
      <c r="M39" s="198"/>
      <c r="N39" s="198"/>
      <c r="O39" s="254" t="s">
        <v>689</v>
      </c>
      <c r="P39" s="201"/>
      <c r="Q39" s="201"/>
      <c r="R39" s="198"/>
      <c r="S39" s="202"/>
      <c r="T39" s="352"/>
      <c r="U39" s="198"/>
    </row>
    <row r="40" spans="1:21" ht="63.75" customHeight="1" x14ac:dyDescent="0.2">
      <c r="A40" s="198">
        <v>2026</v>
      </c>
      <c r="B40" s="198" t="s">
        <v>24</v>
      </c>
      <c r="C40" s="284">
        <v>5</v>
      </c>
      <c r="D40" s="96" t="s">
        <v>733</v>
      </c>
      <c r="E40" s="198" t="s">
        <v>734</v>
      </c>
      <c r="F40" s="116">
        <v>45868</v>
      </c>
      <c r="G40" s="199" t="s">
        <v>208</v>
      </c>
      <c r="H40" s="203">
        <v>94501347</v>
      </c>
      <c r="I40" s="200" t="s">
        <v>611</v>
      </c>
      <c r="J40" s="198" t="s">
        <v>21</v>
      </c>
      <c r="K40" s="198" t="s">
        <v>11</v>
      </c>
      <c r="L40" s="198" t="s">
        <v>8</v>
      </c>
      <c r="M40" s="198" t="s">
        <v>615</v>
      </c>
      <c r="N40" s="198" t="s">
        <v>23</v>
      </c>
      <c r="O40" s="198" t="s">
        <v>9</v>
      </c>
      <c r="P40" s="201">
        <f>AVERAGE(4,4,3.8,4.5)</f>
        <v>4.0750000000000002</v>
      </c>
      <c r="Q40" s="201">
        <f>AVERAGE(5,5,5,5)</f>
        <v>5</v>
      </c>
      <c r="R40" s="198">
        <v>2</v>
      </c>
      <c r="S40" s="202">
        <f>(AVERAGE(P40, Q40)*3) / IF(R40&lt;=3, 1, IF(R40&lt;=5, 2, R40/2))</f>
        <v>13.612499999999999</v>
      </c>
      <c r="T40" s="234" t="s">
        <v>861</v>
      </c>
      <c r="U40" s="220"/>
    </row>
    <row r="41" spans="1:21" ht="61.5" customHeight="1" x14ac:dyDescent="0.2">
      <c r="A41" s="198">
        <v>2026</v>
      </c>
      <c r="B41" s="198" t="s">
        <v>24</v>
      </c>
      <c r="C41" s="284">
        <v>5</v>
      </c>
      <c r="D41" s="198"/>
      <c r="E41" s="198"/>
      <c r="F41" s="199"/>
      <c r="G41" s="199"/>
      <c r="H41" s="203"/>
      <c r="I41" s="198" t="s">
        <v>735</v>
      </c>
      <c r="J41" s="198"/>
      <c r="K41" s="198"/>
      <c r="L41" s="198"/>
      <c r="M41" s="198"/>
      <c r="N41" s="198"/>
      <c r="O41" s="198" t="s">
        <v>746</v>
      </c>
      <c r="P41" s="201"/>
      <c r="Q41" s="201"/>
      <c r="R41" s="198"/>
      <c r="S41" s="202"/>
      <c r="T41" s="352"/>
      <c r="U41" s="198"/>
    </row>
    <row r="42" spans="1:21" ht="83.25" customHeight="1" x14ac:dyDescent="0.2">
      <c r="A42" s="198">
        <v>2026</v>
      </c>
      <c r="B42" s="198" t="s">
        <v>24</v>
      </c>
      <c r="C42" s="284">
        <v>6</v>
      </c>
      <c r="D42" s="198" t="s">
        <v>736</v>
      </c>
      <c r="E42" s="198" t="s">
        <v>737</v>
      </c>
      <c r="F42" s="199">
        <v>46002</v>
      </c>
      <c r="G42" s="199" t="s">
        <v>208</v>
      </c>
      <c r="H42" s="203">
        <v>41936764</v>
      </c>
      <c r="I42" s="200" t="s">
        <v>596</v>
      </c>
      <c r="J42" s="229" t="s">
        <v>21</v>
      </c>
      <c r="K42" s="214" t="s">
        <v>11</v>
      </c>
      <c r="L42" s="198" t="s">
        <v>8</v>
      </c>
      <c r="M42" s="224" t="s">
        <v>305</v>
      </c>
      <c r="N42" s="198" t="s">
        <v>23</v>
      </c>
      <c r="O42" s="198" t="s">
        <v>9</v>
      </c>
      <c r="P42" s="201">
        <f>AVERAGE(4.3,4.7,5,4.6)</f>
        <v>4.6500000000000004</v>
      </c>
      <c r="Q42" s="201">
        <f>AVERAGE(4.8,4.7,5,4.8)</f>
        <v>4.8250000000000002</v>
      </c>
      <c r="R42" s="198">
        <v>3</v>
      </c>
      <c r="S42" s="202">
        <f>(AVERAGE(P42, Q42)*3) / IF(R42&lt;=3, 1, IF(R42&lt;=5, 2, R42/2))</f>
        <v>14.212500000000002</v>
      </c>
      <c r="T42" s="234" t="s">
        <v>861</v>
      </c>
      <c r="U42" s="198"/>
    </row>
    <row r="43" spans="1:21" ht="82.5" customHeight="1" x14ac:dyDescent="0.2">
      <c r="A43" s="198">
        <v>2026</v>
      </c>
      <c r="B43" s="198" t="s">
        <v>24</v>
      </c>
      <c r="C43" s="284">
        <v>6</v>
      </c>
      <c r="D43" s="198" t="s">
        <v>736</v>
      </c>
      <c r="E43" s="198" t="s">
        <v>737</v>
      </c>
      <c r="F43" s="199">
        <v>46002</v>
      </c>
      <c r="G43" s="199" t="s">
        <v>208</v>
      </c>
      <c r="H43" s="203">
        <v>1094911213</v>
      </c>
      <c r="I43" s="200" t="s">
        <v>597</v>
      </c>
      <c r="J43" s="214" t="s">
        <v>17</v>
      </c>
      <c r="K43" s="214" t="s">
        <v>10</v>
      </c>
      <c r="L43" s="198" t="s">
        <v>8</v>
      </c>
      <c r="M43" s="224" t="s">
        <v>305</v>
      </c>
      <c r="N43" s="198" t="s">
        <v>23</v>
      </c>
      <c r="O43" s="198" t="s">
        <v>9</v>
      </c>
      <c r="P43" s="201">
        <f>AVERAGE(4.3,4.7,5,4.6)</f>
        <v>4.6500000000000004</v>
      </c>
      <c r="Q43" s="201">
        <f t="shared" ref="Q43:Q44" si="0">AVERAGE(4.8,4.7,5,4.8)</f>
        <v>4.8250000000000002</v>
      </c>
      <c r="R43" s="198">
        <v>3</v>
      </c>
      <c r="S43" s="202">
        <f>(AVERAGE(P43, Q43)*3) / IF(R43&lt;=3, 1, IF(R43&lt;=5, 2, R43/2))</f>
        <v>14.212500000000002</v>
      </c>
      <c r="T43" s="234" t="s">
        <v>861</v>
      </c>
      <c r="U43" s="198"/>
    </row>
    <row r="44" spans="1:21" ht="82.5" customHeight="1" x14ac:dyDescent="0.2">
      <c r="A44" s="198">
        <v>2026</v>
      </c>
      <c r="B44" s="198" t="s">
        <v>24</v>
      </c>
      <c r="C44" s="284">
        <v>6</v>
      </c>
      <c r="D44" s="198" t="s">
        <v>736</v>
      </c>
      <c r="E44" s="198" t="s">
        <v>737</v>
      </c>
      <c r="F44" s="199">
        <v>46002</v>
      </c>
      <c r="G44" s="199" t="s">
        <v>208</v>
      </c>
      <c r="H44" s="203">
        <v>41959302</v>
      </c>
      <c r="I44" s="200" t="s">
        <v>738</v>
      </c>
      <c r="J44" s="198" t="s">
        <v>21</v>
      </c>
      <c r="K44" s="198" t="s">
        <v>22</v>
      </c>
      <c r="L44" s="198" t="s">
        <v>8</v>
      </c>
      <c r="M44" s="224" t="s">
        <v>305</v>
      </c>
      <c r="N44" s="198" t="s">
        <v>23</v>
      </c>
      <c r="O44" s="198" t="s">
        <v>9</v>
      </c>
      <c r="P44" s="201">
        <f>AVERAGE(4.3,4.7,5,4.6)</f>
        <v>4.6500000000000004</v>
      </c>
      <c r="Q44" s="201">
        <f t="shared" si="0"/>
        <v>4.8250000000000002</v>
      </c>
      <c r="R44" s="198">
        <v>3</v>
      </c>
      <c r="S44" s="202">
        <f>(AVERAGE(P44, Q44)*3) / IF(R44&lt;=3, 1, IF(R44&lt;=5, 2, R44/2))</f>
        <v>14.212500000000002</v>
      </c>
      <c r="T44" s="234" t="s">
        <v>861</v>
      </c>
      <c r="U44" s="198"/>
    </row>
    <row r="45" spans="1:21" ht="82.5" customHeight="1" x14ac:dyDescent="0.2">
      <c r="A45" s="198">
        <v>2026</v>
      </c>
      <c r="B45" s="198" t="s">
        <v>24</v>
      </c>
      <c r="C45" s="284">
        <v>7</v>
      </c>
      <c r="D45" s="198" t="s">
        <v>739</v>
      </c>
      <c r="E45" s="198" t="s">
        <v>740</v>
      </c>
      <c r="F45" s="199">
        <v>45995</v>
      </c>
      <c r="G45" s="199" t="s">
        <v>208</v>
      </c>
      <c r="H45" s="203">
        <v>41959302</v>
      </c>
      <c r="I45" s="200" t="s">
        <v>738</v>
      </c>
      <c r="J45" s="198" t="s">
        <v>21</v>
      </c>
      <c r="K45" s="198" t="s">
        <v>22</v>
      </c>
      <c r="L45" s="198" t="s">
        <v>8</v>
      </c>
      <c r="M45" s="224" t="s">
        <v>305</v>
      </c>
      <c r="N45" s="198" t="s">
        <v>23</v>
      </c>
      <c r="O45" s="198" t="s">
        <v>9</v>
      </c>
      <c r="P45" s="201">
        <f>AVERAGE(5,5,5,5)</f>
        <v>5</v>
      </c>
      <c r="Q45" s="201">
        <f>AVERAGE(5,5,5,5)</f>
        <v>5</v>
      </c>
      <c r="R45" s="198">
        <v>3</v>
      </c>
      <c r="S45" s="202">
        <f>(AVERAGE(P45, Q45)*3) / IF(R45&lt;=3, 1, IF(R45&lt;=5, 2, R45/2))</f>
        <v>15</v>
      </c>
      <c r="T45" s="234" t="s">
        <v>861</v>
      </c>
      <c r="U45" s="198"/>
    </row>
    <row r="46" spans="1:21" ht="32.25" customHeight="1" x14ac:dyDescent="0.2">
      <c r="A46" s="198">
        <v>2026</v>
      </c>
      <c r="B46" s="198" t="s">
        <v>24</v>
      </c>
      <c r="C46" s="284">
        <v>7</v>
      </c>
      <c r="D46" s="198"/>
      <c r="E46" s="198"/>
      <c r="F46" s="199"/>
      <c r="G46" s="199"/>
      <c r="H46" s="203"/>
      <c r="I46" s="198" t="s">
        <v>741</v>
      </c>
      <c r="J46" s="198"/>
      <c r="K46" s="198"/>
      <c r="L46" s="198"/>
      <c r="M46" s="198"/>
      <c r="N46" s="198"/>
      <c r="O46" s="198" t="s">
        <v>9</v>
      </c>
      <c r="P46" s="201"/>
      <c r="Q46" s="201"/>
      <c r="R46" s="198"/>
      <c r="S46" s="202"/>
      <c r="T46" s="352"/>
      <c r="U46" s="198"/>
    </row>
    <row r="47" spans="1:21" ht="32.25" customHeight="1" x14ac:dyDescent="0.2">
      <c r="A47" s="198">
        <v>2026</v>
      </c>
      <c r="B47" s="198" t="s">
        <v>24</v>
      </c>
      <c r="C47" s="284">
        <v>7</v>
      </c>
      <c r="D47" s="198"/>
      <c r="E47" s="198"/>
      <c r="F47" s="199"/>
      <c r="G47" s="199"/>
      <c r="H47" s="203"/>
      <c r="I47" s="198" t="s">
        <v>742</v>
      </c>
      <c r="J47" s="198"/>
      <c r="K47" s="198"/>
      <c r="L47" s="198"/>
      <c r="M47" s="198"/>
      <c r="N47" s="198"/>
      <c r="O47" s="198" t="s">
        <v>9</v>
      </c>
      <c r="P47" s="201"/>
      <c r="Q47" s="201"/>
      <c r="R47" s="198"/>
      <c r="S47" s="202"/>
      <c r="T47" s="352"/>
      <c r="U47" s="198"/>
    </row>
    <row r="48" spans="1:21" ht="64.5" customHeight="1" x14ac:dyDescent="0.2">
      <c r="A48" s="198">
        <v>2026</v>
      </c>
      <c r="B48" s="198" t="s">
        <v>24</v>
      </c>
      <c r="C48" s="284">
        <v>8</v>
      </c>
      <c r="D48" s="198" t="s">
        <v>744</v>
      </c>
      <c r="E48" s="198" t="s">
        <v>743</v>
      </c>
      <c r="F48" s="199">
        <v>46003</v>
      </c>
      <c r="G48" s="199" t="s">
        <v>208</v>
      </c>
      <c r="H48" s="203">
        <v>7554040</v>
      </c>
      <c r="I48" s="200" t="s">
        <v>745</v>
      </c>
      <c r="J48" s="214" t="s">
        <v>17</v>
      </c>
      <c r="K48" s="214" t="s">
        <v>11</v>
      </c>
      <c r="L48" s="198" t="s">
        <v>8</v>
      </c>
      <c r="M48" s="198" t="s">
        <v>203</v>
      </c>
      <c r="N48" s="198" t="s">
        <v>63</v>
      </c>
      <c r="O48" s="198" t="s">
        <v>9</v>
      </c>
      <c r="P48" s="201">
        <f>AVERAGE(4.6,4,4.8,4.5)</f>
        <v>4.4749999999999996</v>
      </c>
      <c r="Q48" s="201">
        <f>AVERAGE(4.4,3.9,4.1,3.9)</f>
        <v>4.0750000000000002</v>
      </c>
      <c r="R48" s="198">
        <v>3</v>
      </c>
      <c r="S48" s="202">
        <f>(AVERAGE(P48, Q48)*3) / IF(R48&lt;=3, 1, IF(R48&lt;=5, 2, R48/2))</f>
        <v>12.825000000000001</v>
      </c>
      <c r="T48" s="234" t="s">
        <v>861</v>
      </c>
      <c r="U48" s="198"/>
    </row>
    <row r="49" spans="1:21" ht="25.5" x14ac:dyDescent="0.2">
      <c r="A49" s="198">
        <v>2026</v>
      </c>
      <c r="B49" s="198" t="s">
        <v>24</v>
      </c>
      <c r="C49" s="284">
        <v>8</v>
      </c>
      <c r="D49" s="198"/>
      <c r="E49" s="198"/>
      <c r="F49" s="199"/>
      <c r="G49" s="199"/>
      <c r="H49" s="203"/>
      <c r="I49" s="198" t="s">
        <v>747</v>
      </c>
      <c r="J49" s="198"/>
      <c r="K49" s="198"/>
      <c r="L49" s="198"/>
      <c r="M49" s="198"/>
      <c r="N49" s="198"/>
      <c r="O49" s="350" t="s">
        <v>9</v>
      </c>
      <c r="P49" s="201"/>
      <c r="Q49" s="201"/>
      <c r="R49" s="198"/>
      <c r="S49" s="202"/>
      <c r="T49" s="352"/>
      <c r="U49" s="198"/>
    </row>
    <row r="50" spans="1:21" ht="25.5" x14ac:dyDescent="0.2">
      <c r="A50" s="198">
        <v>2026</v>
      </c>
      <c r="B50" s="198" t="s">
        <v>24</v>
      </c>
      <c r="C50" s="284">
        <v>8</v>
      </c>
      <c r="D50" s="198"/>
      <c r="E50" s="198"/>
      <c r="F50" s="199"/>
      <c r="G50" s="199"/>
      <c r="H50" s="203"/>
      <c r="I50" s="198" t="s">
        <v>748</v>
      </c>
      <c r="J50" s="198"/>
      <c r="K50" s="198"/>
      <c r="L50" s="198"/>
      <c r="M50" s="198"/>
      <c r="N50" s="198"/>
      <c r="O50" s="254" t="s">
        <v>604</v>
      </c>
      <c r="P50" s="201"/>
      <c r="Q50" s="201"/>
      <c r="R50" s="198"/>
      <c r="S50" s="202"/>
      <c r="T50" s="352"/>
      <c r="U50" s="198"/>
    </row>
    <row r="51" spans="1:21" ht="89.25" x14ac:dyDescent="0.2">
      <c r="A51" s="198">
        <v>2026</v>
      </c>
      <c r="B51" s="198" t="s">
        <v>24</v>
      </c>
      <c r="C51" s="284">
        <v>9</v>
      </c>
      <c r="D51" s="198" t="s">
        <v>749</v>
      </c>
      <c r="E51" s="198" t="s">
        <v>750</v>
      </c>
      <c r="F51" s="199">
        <v>46002</v>
      </c>
      <c r="G51" s="199" t="s">
        <v>208</v>
      </c>
      <c r="H51" s="203">
        <v>7554040</v>
      </c>
      <c r="I51" s="200" t="s">
        <v>745</v>
      </c>
      <c r="J51" s="214" t="s">
        <v>17</v>
      </c>
      <c r="K51" s="214" t="s">
        <v>11</v>
      </c>
      <c r="L51" s="198" t="s">
        <v>8</v>
      </c>
      <c r="M51" s="198" t="s">
        <v>203</v>
      </c>
      <c r="N51" s="198" t="s">
        <v>63</v>
      </c>
      <c r="O51" s="198" t="s">
        <v>9</v>
      </c>
      <c r="P51" s="201">
        <f>AVERAGE(4.6,4.4,4.8,4.5)</f>
        <v>4.5750000000000002</v>
      </c>
      <c r="Q51" s="201">
        <f>AVERAGE(4.2,4,4.3,4)</f>
        <v>4.125</v>
      </c>
      <c r="R51" s="198">
        <v>3</v>
      </c>
      <c r="S51" s="202">
        <f t="shared" ref="S51:S56" si="1">(AVERAGE(P51, Q51)*3) / IF(R51&lt;=3, 1, IF(R51&lt;=5, 2, R51/2))</f>
        <v>13.049999999999999</v>
      </c>
      <c r="T51" s="352" t="s">
        <v>861</v>
      </c>
      <c r="U51" s="198"/>
    </row>
    <row r="52" spans="1:21" ht="89.25" x14ac:dyDescent="0.2">
      <c r="A52" s="198">
        <v>2026</v>
      </c>
      <c r="B52" s="198" t="s">
        <v>24</v>
      </c>
      <c r="C52" s="284">
        <v>9</v>
      </c>
      <c r="D52" s="198" t="s">
        <v>749</v>
      </c>
      <c r="E52" s="198" t="s">
        <v>750</v>
      </c>
      <c r="F52" s="199">
        <v>46002</v>
      </c>
      <c r="G52" s="199" t="s">
        <v>208</v>
      </c>
      <c r="H52" s="203">
        <v>29226257</v>
      </c>
      <c r="I52" s="200" t="s">
        <v>751</v>
      </c>
      <c r="J52" s="214" t="s">
        <v>17</v>
      </c>
      <c r="K52" s="198" t="s">
        <v>22</v>
      </c>
      <c r="L52" s="198" t="s">
        <v>8</v>
      </c>
      <c r="M52" s="198" t="s">
        <v>203</v>
      </c>
      <c r="N52" s="198" t="s">
        <v>63</v>
      </c>
      <c r="O52" s="198" t="s">
        <v>9</v>
      </c>
      <c r="P52" s="201">
        <f>AVERAGE(4.6,4.4,4.8,4.5)</f>
        <v>4.5750000000000002</v>
      </c>
      <c r="Q52" s="201">
        <f>AVERAGE(4.2,4,4.3,4)</f>
        <v>4.125</v>
      </c>
      <c r="R52" s="198">
        <v>3</v>
      </c>
      <c r="S52" s="202">
        <f t="shared" si="1"/>
        <v>13.049999999999999</v>
      </c>
      <c r="T52" s="234" t="s">
        <v>861</v>
      </c>
      <c r="U52" s="198"/>
    </row>
    <row r="53" spans="1:21" ht="89.25" x14ac:dyDescent="0.2">
      <c r="A53" s="198">
        <v>2026</v>
      </c>
      <c r="B53" s="198" t="s">
        <v>24</v>
      </c>
      <c r="C53" s="284">
        <v>9</v>
      </c>
      <c r="D53" s="198" t="s">
        <v>749</v>
      </c>
      <c r="E53" s="198" t="s">
        <v>750</v>
      </c>
      <c r="F53" s="199">
        <v>46002</v>
      </c>
      <c r="G53" s="199" t="s">
        <v>208</v>
      </c>
      <c r="H53" s="203">
        <v>41916725</v>
      </c>
      <c r="I53" s="200" t="s">
        <v>308</v>
      </c>
      <c r="J53" s="214" t="s">
        <v>17</v>
      </c>
      <c r="K53" s="198" t="s">
        <v>59</v>
      </c>
      <c r="L53" s="198" t="s">
        <v>8</v>
      </c>
      <c r="M53" s="198" t="s">
        <v>203</v>
      </c>
      <c r="N53" s="198" t="s">
        <v>63</v>
      </c>
      <c r="O53" s="198" t="s">
        <v>9</v>
      </c>
      <c r="P53" s="201">
        <f>AVERAGE(4.6,4.4,4.8,4.5)</f>
        <v>4.5750000000000002</v>
      </c>
      <c r="Q53" s="201">
        <f>AVERAGE(4.2,4,4.3,4)</f>
        <v>4.125</v>
      </c>
      <c r="R53" s="198">
        <v>3</v>
      </c>
      <c r="S53" s="202">
        <f t="shared" si="1"/>
        <v>13.049999999999999</v>
      </c>
      <c r="T53" s="234" t="s">
        <v>861</v>
      </c>
      <c r="U53" s="198"/>
    </row>
    <row r="54" spans="1:21" ht="105.75" customHeight="1" x14ac:dyDescent="0.2">
      <c r="A54" s="198">
        <v>2026</v>
      </c>
      <c r="B54" s="198" t="s">
        <v>24</v>
      </c>
      <c r="C54" s="284">
        <v>10</v>
      </c>
      <c r="D54" s="198" t="s">
        <v>752</v>
      </c>
      <c r="E54" s="198" t="s">
        <v>753</v>
      </c>
      <c r="F54" s="199">
        <v>45995</v>
      </c>
      <c r="G54" s="199" t="s">
        <v>208</v>
      </c>
      <c r="H54" s="203">
        <v>24582340</v>
      </c>
      <c r="I54" s="200" t="s">
        <v>606</v>
      </c>
      <c r="J54" s="214" t="s">
        <v>17</v>
      </c>
      <c r="K54" s="198" t="s">
        <v>22</v>
      </c>
      <c r="L54" s="198" t="s">
        <v>8</v>
      </c>
      <c r="M54" s="198" t="s">
        <v>72</v>
      </c>
      <c r="N54" s="198" t="s">
        <v>27</v>
      </c>
      <c r="O54" s="198" t="s">
        <v>9</v>
      </c>
      <c r="P54" s="201">
        <f>AVERAGE(4.8,4.8,4.5,4.8)</f>
        <v>4.7249999999999996</v>
      </c>
      <c r="Q54" s="201">
        <f>AVERAGE(5,5,5,5)</f>
        <v>5</v>
      </c>
      <c r="R54" s="198">
        <v>3</v>
      </c>
      <c r="S54" s="202">
        <f t="shared" si="1"/>
        <v>14.587499999999999</v>
      </c>
      <c r="T54" s="234" t="s">
        <v>861</v>
      </c>
      <c r="U54" s="198"/>
    </row>
    <row r="55" spans="1:21" ht="106.5" customHeight="1" x14ac:dyDescent="0.2">
      <c r="A55" s="198">
        <v>2026</v>
      </c>
      <c r="B55" s="198" t="s">
        <v>24</v>
      </c>
      <c r="C55" s="284">
        <v>10</v>
      </c>
      <c r="D55" s="198" t="s">
        <v>752</v>
      </c>
      <c r="E55" s="198" t="s">
        <v>753</v>
      </c>
      <c r="F55" s="199">
        <v>45995</v>
      </c>
      <c r="G55" s="199" t="s">
        <v>208</v>
      </c>
      <c r="H55" s="203">
        <v>7561086</v>
      </c>
      <c r="I55" s="200" t="s">
        <v>754</v>
      </c>
      <c r="J55" s="229" t="s">
        <v>21</v>
      </c>
      <c r="K55" s="214" t="s">
        <v>11</v>
      </c>
      <c r="L55" s="198" t="s">
        <v>8</v>
      </c>
      <c r="M55" s="198" t="s">
        <v>72</v>
      </c>
      <c r="N55" s="198" t="s">
        <v>27</v>
      </c>
      <c r="O55" s="198" t="s">
        <v>9</v>
      </c>
      <c r="P55" s="201">
        <f>AVERAGE(4.8,4.8,4.5,4.8)</f>
        <v>4.7249999999999996</v>
      </c>
      <c r="Q55" s="201">
        <f>AVERAGE(5,5,5,5)</f>
        <v>5</v>
      </c>
      <c r="R55" s="198">
        <v>3</v>
      </c>
      <c r="S55" s="202">
        <f t="shared" si="1"/>
        <v>14.587499999999999</v>
      </c>
      <c r="T55" s="352" t="s">
        <v>861</v>
      </c>
      <c r="U55" s="198"/>
    </row>
    <row r="56" spans="1:21" ht="109.5" customHeight="1" x14ac:dyDescent="0.2">
      <c r="A56" s="198">
        <v>2026</v>
      </c>
      <c r="B56" s="198" t="s">
        <v>24</v>
      </c>
      <c r="C56" s="284">
        <v>10</v>
      </c>
      <c r="D56" s="198" t="s">
        <v>752</v>
      </c>
      <c r="E56" s="198" t="s">
        <v>753</v>
      </c>
      <c r="F56" s="199">
        <v>45995</v>
      </c>
      <c r="G56" s="199" t="s">
        <v>208</v>
      </c>
      <c r="H56" s="203">
        <v>16512197</v>
      </c>
      <c r="I56" s="200" t="s">
        <v>605</v>
      </c>
      <c r="J56" s="214" t="s">
        <v>17</v>
      </c>
      <c r="K56" s="198" t="s">
        <v>22</v>
      </c>
      <c r="L56" s="198" t="s">
        <v>8</v>
      </c>
      <c r="M56" s="198" t="s">
        <v>72</v>
      </c>
      <c r="N56" s="198" t="s">
        <v>27</v>
      </c>
      <c r="O56" s="198" t="s">
        <v>9</v>
      </c>
      <c r="P56" s="201">
        <f>AVERAGE(4.8,4.8,4.5,4.8)</f>
        <v>4.7249999999999996</v>
      </c>
      <c r="Q56" s="201">
        <f>AVERAGE(5,5,5,5)</f>
        <v>5</v>
      </c>
      <c r="R56" s="198">
        <v>3</v>
      </c>
      <c r="S56" s="202">
        <f t="shared" si="1"/>
        <v>14.587499999999999</v>
      </c>
      <c r="T56" s="352" t="s">
        <v>861</v>
      </c>
      <c r="U56" s="198"/>
    </row>
    <row r="57" spans="1:21" ht="134.25" customHeight="1" x14ac:dyDescent="0.2">
      <c r="A57" s="284">
        <v>2026</v>
      </c>
      <c r="B57" s="284" t="s">
        <v>24</v>
      </c>
      <c r="C57" s="284">
        <v>11</v>
      </c>
      <c r="D57" s="284" t="s">
        <v>91</v>
      </c>
      <c r="E57" s="284" t="s">
        <v>90</v>
      </c>
      <c r="F57" s="199">
        <v>45646</v>
      </c>
      <c r="G57" s="287" t="s">
        <v>208</v>
      </c>
      <c r="H57" s="288">
        <v>24573858</v>
      </c>
      <c r="I57" s="273" t="s">
        <v>92</v>
      </c>
      <c r="J57" s="234" t="s">
        <v>17</v>
      </c>
      <c r="K57" s="234" t="s">
        <v>11</v>
      </c>
      <c r="L57" s="234" t="s">
        <v>8</v>
      </c>
      <c r="M57" s="234" t="s">
        <v>64</v>
      </c>
      <c r="N57" s="234" t="s">
        <v>63</v>
      </c>
      <c r="O57" s="234" t="s">
        <v>9</v>
      </c>
      <c r="P57" s="201">
        <f>AVERAGE(4.5,4.7,4.8,4.8)</f>
        <v>4.7</v>
      </c>
      <c r="Q57" s="201">
        <f>AVERAGE(4.5,4.5,4.5,4.5)</f>
        <v>4.5</v>
      </c>
      <c r="R57" s="284">
        <v>3</v>
      </c>
      <c r="S57" s="276">
        <f>(AVERAGE(P57, Q57)*3) / IF(R57&lt;=3, 1, IF(R57&lt;=5, 2, R57/2))</f>
        <v>13.799999999999999</v>
      </c>
      <c r="T57" s="234" t="s">
        <v>861</v>
      </c>
      <c r="U57" s="284" t="s">
        <v>787</v>
      </c>
    </row>
    <row r="58" spans="1:21" ht="25.5" x14ac:dyDescent="0.2">
      <c r="A58" s="284">
        <v>2026</v>
      </c>
      <c r="B58" s="284" t="s">
        <v>24</v>
      </c>
      <c r="C58" s="284">
        <v>11</v>
      </c>
      <c r="D58" s="284"/>
      <c r="E58" s="284"/>
      <c r="F58" s="199"/>
      <c r="G58" s="199"/>
      <c r="H58" s="289"/>
      <c r="I58" s="284" t="s">
        <v>93</v>
      </c>
      <c r="J58" s="284"/>
      <c r="K58" s="284"/>
      <c r="L58" s="284"/>
      <c r="M58" s="274"/>
      <c r="N58" s="284"/>
      <c r="O58" s="284" t="s">
        <v>207</v>
      </c>
      <c r="P58" s="284"/>
      <c r="Q58" s="284"/>
      <c r="R58" s="284"/>
      <c r="S58" s="276"/>
      <c r="T58" s="352"/>
      <c r="U58" s="284"/>
    </row>
    <row r="59" spans="1:21" ht="25.5" x14ac:dyDescent="0.2">
      <c r="A59" s="284">
        <v>2026</v>
      </c>
      <c r="B59" s="284" t="s">
        <v>24</v>
      </c>
      <c r="C59" s="284">
        <v>11</v>
      </c>
      <c r="D59" s="284"/>
      <c r="E59" s="284"/>
      <c r="F59" s="199"/>
      <c r="G59" s="199"/>
      <c r="H59" s="317"/>
      <c r="I59" s="284" t="s">
        <v>94</v>
      </c>
      <c r="J59" s="234"/>
      <c r="K59" s="284"/>
      <c r="L59" s="284"/>
      <c r="M59" s="284"/>
      <c r="N59" s="284"/>
      <c r="O59" s="284" t="s">
        <v>9</v>
      </c>
      <c r="P59" s="284"/>
      <c r="Q59" s="284"/>
      <c r="R59" s="284"/>
      <c r="S59" s="276"/>
      <c r="T59" s="352"/>
      <c r="U59" s="284"/>
    </row>
    <row r="60" spans="1:21" ht="57.75" customHeight="1" x14ac:dyDescent="0.2">
      <c r="A60" s="284">
        <v>2026</v>
      </c>
      <c r="B60" s="284" t="s">
        <v>24</v>
      </c>
      <c r="C60" s="284">
        <v>12</v>
      </c>
      <c r="D60" s="284" t="s">
        <v>789</v>
      </c>
      <c r="E60" s="284" t="s">
        <v>788</v>
      </c>
      <c r="F60" s="199">
        <v>45986</v>
      </c>
      <c r="G60" s="199" t="s">
        <v>208</v>
      </c>
      <c r="H60" s="318">
        <v>41931649</v>
      </c>
      <c r="I60" s="290" t="s">
        <v>790</v>
      </c>
      <c r="J60" s="212" t="s">
        <v>21</v>
      </c>
      <c r="K60" s="350" t="s">
        <v>11</v>
      </c>
      <c r="L60" s="350" t="s">
        <v>8</v>
      </c>
      <c r="M60" s="350" t="s">
        <v>600</v>
      </c>
      <c r="N60" s="284" t="s">
        <v>23</v>
      </c>
      <c r="O60" s="284" t="s">
        <v>9</v>
      </c>
      <c r="P60" s="201">
        <f>AVERAGE(4.8,4.7,4.9,4.8)</f>
        <v>4.8</v>
      </c>
      <c r="Q60" s="201">
        <f>AVERAGE(4.5,4,5,4.5)</f>
        <v>4.5</v>
      </c>
      <c r="R60" s="284">
        <v>3</v>
      </c>
      <c r="S60" s="276">
        <f>(AVERAGE(P60, Q60)*3) / IF(R60&lt;=3, 1, IF(R60&lt;=5, 2, R60/2))</f>
        <v>13.950000000000001</v>
      </c>
      <c r="T60" s="352" t="s">
        <v>861</v>
      </c>
      <c r="U60" s="285"/>
    </row>
    <row r="61" spans="1:21" ht="54.75" customHeight="1" x14ac:dyDescent="0.2">
      <c r="A61" s="284">
        <v>2026</v>
      </c>
      <c r="B61" s="284" t="s">
        <v>24</v>
      </c>
      <c r="C61" s="284">
        <v>12</v>
      </c>
      <c r="D61" s="284" t="s">
        <v>789</v>
      </c>
      <c r="E61" s="284" t="s">
        <v>788</v>
      </c>
      <c r="F61" s="199">
        <v>45986</v>
      </c>
      <c r="G61" s="199" t="s">
        <v>208</v>
      </c>
      <c r="H61" s="318">
        <v>7554769</v>
      </c>
      <c r="I61" s="290" t="s">
        <v>791</v>
      </c>
      <c r="J61" s="212" t="s">
        <v>17</v>
      </c>
      <c r="K61" s="291" t="s">
        <v>11</v>
      </c>
      <c r="L61" s="234" t="s">
        <v>8</v>
      </c>
      <c r="M61" s="284" t="s">
        <v>600</v>
      </c>
      <c r="N61" s="284" t="s">
        <v>23</v>
      </c>
      <c r="O61" s="284" t="s">
        <v>9</v>
      </c>
      <c r="P61" s="201">
        <f>AVERAGE(4.8,4.7,4.9,4.8)</f>
        <v>4.8</v>
      </c>
      <c r="Q61" s="201">
        <f>AVERAGE(4.5,4,5,4.5)</f>
        <v>4.5</v>
      </c>
      <c r="R61" s="285">
        <v>3</v>
      </c>
      <c r="S61" s="276">
        <f>(AVERAGE(P61, Q61)*3) / IF(R61&lt;=3, 1, IF(R61&lt;=5, 2, R61/2))</f>
        <v>13.950000000000001</v>
      </c>
      <c r="T61" s="234" t="s">
        <v>861</v>
      </c>
      <c r="U61" s="284"/>
    </row>
    <row r="62" spans="1:21" ht="31.5" customHeight="1" x14ac:dyDescent="0.2">
      <c r="A62" s="284">
        <v>2026</v>
      </c>
      <c r="B62" s="284" t="s">
        <v>24</v>
      </c>
      <c r="C62" s="284">
        <v>12</v>
      </c>
      <c r="D62" s="284"/>
      <c r="E62" s="284"/>
      <c r="F62" s="199"/>
      <c r="G62" s="199"/>
      <c r="H62" s="319"/>
      <c r="I62" s="284" t="s">
        <v>792</v>
      </c>
      <c r="J62" s="292"/>
      <c r="K62" s="284"/>
      <c r="L62" s="284"/>
      <c r="M62" s="284"/>
      <c r="N62" s="284"/>
      <c r="O62" s="284" t="s">
        <v>9</v>
      </c>
      <c r="P62" s="284"/>
      <c r="Q62" s="284"/>
      <c r="R62" s="284"/>
      <c r="S62" s="276"/>
      <c r="T62" s="352"/>
      <c r="U62" s="284"/>
    </row>
    <row r="63" spans="1:21" ht="55.5" customHeight="1" x14ac:dyDescent="0.2">
      <c r="A63" s="313">
        <v>2026</v>
      </c>
      <c r="B63" s="313" t="s">
        <v>24</v>
      </c>
      <c r="C63" s="313">
        <v>13</v>
      </c>
      <c r="D63" s="313" t="s">
        <v>820</v>
      </c>
      <c r="E63" s="313" t="s">
        <v>821</v>
      </c>
      <c r="F63" s="199">
        <v>45995</v>
      </c>
      <c r="G63" s="199" t="s">
        <v>208</v>
      </c>
      <c r="H63" s="289">
        <v>42086202</v>
      </c>
      <c r="I63" s="273" t="s">
        <v>822</v>
      </c>
      <c r="J63" s="212" t="s">
        <v>17</v>
      </c>
      <c r="K63" s="313" t="s">
        <v>10</v>
      </c>
      <c r="L63" s="313" t="s">
        <v>8</v>
      </c>
      <c r="M63" s="234" t="s">
        <v>64</v>
      </c>
      <c r="N63" s="234" t="s">
        <v>63</v>
      </c>
      <c r="O63" s="234" t="s">
        <v>9</v>
      </c>
      <c r="P63" s="201">
        <f>AVERAGE(5,5,4.9,5)</f>
        <v>4.9749999999999996</v>
      </c>
      <c r="Q63" s="201">
        <f>AVERAGE(4.8,4.7,4.6,4.9)</f>
        <v>4.75</v>
      </c>
      <c r="R63" s="313">
        <v>3</v>
      </c>
      <c r="S63" s="276">
        <f>(AVERAGE(P63, Q63)*3) / IF(R63&lt;=3, 1, IF(R63&lt;=5, 2, R63/2))</f>
        <v>14.587499999999999</v>
      </c>
      <c r="T63" s="234" t="s">
        <v>861</v>
      </c>
      <c r="U63" s="313"/>
    </row>
    <row r="64" spans="1:21" ht="57" customHeight="1" x14ac:dyDescent="0.2">
      <c r="A64" s="313">
        <v>2026</v>
      </c>
      <c r="B64" s="313" t="s">
        <v>24</v>
      </c>
      <c r="C64" s="313">
        <v>13</v>
      </c>
      <c r="D64" s="313" t="s">
        <v>820</v>
      </c>
      <c r="E64" s="313" t="s">
        <v>821</v>
      </c>
      <c r="F64" s="199">
        <v>45995</v>
      </c>
      <c r="G64" s="199" t="s">
        <v>208</v>
      </c>
      <c r="H64" s="320">
        <v>24573858</v>
      </c>
      <c r="I64" s="273" t="s">
        <v>92</v>
      </c>
      <c r="J64" s="234" t="s">
        <v>17</v>
      </c>
      <c r="K64" s="234" t="s">
        <v>11</v>
      </c>
      <c r="L64" s="234" t="s">
        <v>8</v>
      </c>
      <c r="M64" s="234" t="s">
        <v>64</v>
      </c>
      <c r="N64" s="234" t="s">
        <v>63</v>
      </c>
      <c r="O64" s="234" t="s">
        <v>9</v>
      </c>
      <c r="P64" s="201">
        <f>AVERAGE(5,5,4.9,5)</f>
        <v>4.9749999999999996</v>
      </c>
      <c r="Q64" s="201">
        <f>AVERAGE(4.8,4.7,4.6,4.9)</f>
        <v>4.75</v>
      </c>
      <c r="R64" s="313">
        <v>3</v>
      </c>
      <c r="S64" s="276">
        <f>(AVERAGE(P64, Q64)*3) / IF(R64&lt;=3, 1, IF(R64&lt;=5, 2, R64/2))</f>
        <v>14.587499999999999</v>
      </c>
      <c r="T64" s="234" t="s">
        <v>861</v>
      </c>
      <c r="U64" s="313"/>
    </row>
    <row r="65" spans="1:21" ht="25.5" x14ac:dyDescent="0.2">
      <c r="A65" s="313">
        <v>2026</v>
      </c>
      <c r="B65" s="313" t="s">
        <v>24</v>
      </c>
      <c r="C65" s="313">
        <v>13</v>
      </c>
      <c r="D65" s="313"/>
      <c r="E65" s="313"/>
      <c r="F65" s="199"/>
      <c r="G65" s="199"/>
      <c r="H65" s="203"/>
      <c r="I65" s="313" t="s">
        <v>823</v>
      </c>
      <c r="J65" s="313"/>
      <c r="K65" s="313"/>
      <c r="L65" s="313"/>
      <c r="M65" s="313"/>
      <c r="N65" s="313"/>
      <c r="O65" s="313"/>
      <c r="P65" s="313"/>
      <c r="Q65" s="313"/>
      <c r="R65" s="313"/>
      <c r="S65" s="276"/>
      <c r="T65" s="352"/>
      <c r="U65" s="313"/>
    </row>
    <row r="66" spans="1:21" ht="68.25" customHeight="1" x14ac:dyDescent="0.2">
      <c r="A66" s="313">
        <v>2026</v>
      </c>
      <c r="B66" s="313" t="s">
        <v>24</v>
      </c>
      <c r="C66" s="313">
        <v>14</v>
      </c>
      <c r="D66" s="313" t="s">
        <v>824</v>
      </c>
      <c r="E66" s="313" t="s">
        <v>825</v>
      </c>
      <c r="F66" s="199">
        <v>45995</v>
      </c>
      <c r="G66" s="199" t="s">
        <v>208</v>
      </c>
      <c r="H66" s="289">
        <v>42086202</v>
      </c>
      <c r="I66" s="273" t="s">
        <v>822</v>
      </c>
      <c r="J66" s="212" t="s">
        <v>17</v>
      </c>
      <c r="K66" s="313" t="s">
        <v>10</v>
      </c>
      <c r="L66" s="313" t="s">
        <v>8</v>
      </c>
      <c r="M66" s="234" t="s">
        <v>64</v>
      </c>
      <c r="N66" s="234" t="s">
        <v>63</v>
      </c>
      <c r="O66" s="234" t="s">
        <v>9</v>
      </c>
      <c r="P66" s="201">
        <f>AVERAGE(4.8,4.5,4.3,4.8)</f>
        <v>4.6000000000000005</v>
      </c>
      <c r="Q66" s="201">
        <f>AVERAGE(4.9,4.8,4.7,4.9)</f>
        <v>4.8249999999999993</v>
      </c>
      <c r="R66" s="313">
        <v>3</v>
      </c>
      <c r="S66" s="276">
        <f>(AVERAGE(P66, Q66)*3) / IF(R66&lt;=3, 1, IF(R66&lt;=5, 2, R66/2))</f>
        <v>14.137500000000001</v>
      </c>
      <c r="T66" s="234" t="s">
        <v>861</v>
      </c>
      <c r="U66" s="313"/>
    </row>
    <row r="67" spans="1:21" ht="191.25" x14ac:dyDescent="0.2">
      <c r="A67" s="313">
        <v>2026</v>
      </c>
      <c r="B67" s="313" t="s">
        <v>24</v>
      </c>
      <c r="C67" s="313">
        <v>14</v>
      </c>
      <c r="D67" s="313" t="s">
        <v>824</v>
      </c>
      <c r="E67" s="313" t="s">
        <v>825</v>
      </c>
      <c r="F67" s="199">
        <v>45995</v>
      </c>
      <c r="G67" s="199" t="s">
        <v>208</v>
      </c>
      <c r="H67" s="320">
        <v>24573858</v>
      </c>
      <c r="I67" s="273" t="s">
        <v>92</v>
      </c>
      <c r="J67" s="234" t="s">
        <v>17</v>
      </c>
      <c r="K67" s="234" t="s">
        <v>11</v>
      </c>
      <c r="L67" s="234" t="s">
        <v>8</v>
      </c>
      <c r="M67" s="234" t="s">
        <v>64</v>
      </c>
      <c r="N67" s="234" t="s">
        <v>63</v>
      </c>
      <c r="O67" s="234" t="s">
        <v>9</v>
      </c>
      <c r="P67" s="201">
        <f>AVERAGE(4.8,4.5,4.3,4.8)</f>
        <v>4.6000000000000005</v>
      </c>
      <c r="Q67" s="201">
        <f>AVERAGE(4.9,4.8,4.7,4.9)</f>
        <v>4.8249999999999993</v>
      </c>
      <c r="R67" s="313">
        <v>3</v>
      </c>
      <c r="S67" s="276">
        <f>((AVERAGE(P67, Q67)*3) / IF(R67&lt;=3, 1, IF(R67&lt;=5, 2, R67/2))-7.5)</f>
        <v>6.6375000000000011</v>
      </c>
      <c r="T67" s="234" t="s">
        <v>861</v>
      </c>
      <c r="U67" s="313" t="s">
        <v>860</v>
      </c>
    </row>
    <row r="68" spans="1:21" ht="25.5" x14ac:dyDescent="0.2">
      <c r="A68" s="313">
        <v>2026</v>
      </c>
      <c r="B68" s="313" t="s">
        <v>24</v>
      </c>
      <c r="C68" s="313">
        <v>14</v>
      </c>
      <c r="D68" s="313"/>
      <c r="E68" s="313"/>
      <c r="F68" s="199"/>
      <c r="G68" s="199"/>
      <c r="H68" s="203"/>
      <c r="I68" s="313" t="s">
        <v>823</v>
      </c>
      <c r="J68" s="313"/>
      <c r="K68" s="313"/>
      <c r="L68" s="313"/>
      <c r="M68" s="313"/>
      <c r="N68" s="313"/>
      <c r="O68" s="313"/>
      <c r="P68" s="313"/>
      <c r="Q68" s="313"/>
      <c r="R68" s="313"/>
      <c r="S68" s="276"/>
      <c r="T68" s="352"/>
      <c r="U68" s="313"/>
    </row>
    <row r="69" spans="1:21" ht="63.75" x14ac:dyDescent="0.2">
      <c r="A69" s="316">
        <v>2026</v>
      </c>
      <c r="B69" s="316" t="s">
        <v>24</v>
      </c>
      <c r="C69" s="316">
        <v>15</v>
      </c>
      <c r="D69" s="316" t="s">
        <v>844</v>
      </c>
      <c r="E69" s="316" t="s">
        <v>845</v>
      </c>
      <c r="F69" s="199">
        <v>46014</v>
      </c>
      <c r="G69" s="199" t="s">
        <v>208</v>
      </c>
      <c r="H69" s="203">
        <v>10122357</v>
      </c>
      <c r="I69" s="273" t="s">
        <v>846</v>
      </c>
      <c r="J69" s="277" t="s">
        <v>17</v>
      </c>
      <c r="K69" s="277" t="s">
        <v>22</v>
      </c>
      <c r="L69" s="316" t="s">
        <v>8</v>
      </c>
      <c r="M69" s="274" t="s">
        <v>305</v>
      </c>
      <c r="N69" s="316" t="s">
        <v>23</v>
      </c>
      <c r="O69" s="316" t="s">
        <v>9</v>
      </c>
      <c r="P69" s="201">
        <f>AVERAGE(4,4.5,5,4)</f>
        <v>4.375</v>
      </c>
      <c r="Q69" s="201">
        <f>AVERAGE(4.2,4,4.6,3.8)</f>
        <v>4.1499999999999995</v>
      </c>
      <c r="R69" s="316">
        <v>3</v>
      </c>
      <c r="S69" s="276">
        <f>(AVERAGE(P69, Q69)*3) / IF(R69&lt;=3, 1, IF(R69&lt;=5, 2, R69/2))</f>
        <v>12.787499999999998</v>
      </c>
      <c r="T69" s="234" t="s">
        <v>861</v>
      </c>
      <c r="U69" s="316"/>
    </row>
    <row r="70" spans="1:21" ht="77.25" customHeight="1" x14ac:dyDescent="0.2">
      <c r="A70" s="316">
        <v>2026</v>
      </c>
      <c r="B70" s="316" t="s">
        <v>24</v>
      </c>
      <c r="C70" s="316">
        <v>15</v>
      </c>
      <c r="D70" s="316" t="s">
        <v>844</v>
      </c>
      <c r="E70" s="316" t="s">
        <v>845</v>
      </c>
      <c r="F70" s="199">
        <v>46014</v>
      </c>
      <c r="G70" s="199" t="s">
        <v>208</v>
      </c>
      <c r="H70" s="203">
        <v>41937649</v>
      </c>
      <c r="I70" s="273" t="s">
        <v>847</v>
      </c>
      <c r="J70" s="277" t="s">
        <v>17</v>
      </c>
      <c r="K70" s="277" t="s">
        <v>22</v>
      </c>
      <c r="L70" s="316" t="s">
        <v>8</v>
      </c>
      <c r="M70" s="274" t="s">
        <v>305</v>
      </c>
      <c r="N70" s="316" t="s">
        <v>23</v>
      </c>
      <c r="O70" s="316" t="s">
        <v>9</v>
      </c>
      <c r="P70" s="201">
        <f>AVERAGE(4,4.5,5,4)</f>
        <v>4.375</v>
      </c>
      <c r="Q70" s="201">
        <f>AVERAGE(4.2,4,4.6,3.8)</f>
        <v>4.1499999999999995</v>
      </c>
      <c r="R70" s="316">
        <v>2</v>
      </c>
      <c r="S70" s="276">
        <f>(AVERAGE(P70, Q70)*3) / IF(R70&lt;=3, 1, IF(R70&lt;=5, 2, R70/2))</f>
        <v>12.787499999999998</v>
      </c>
      <c r="T70" s="352" t="s">
        <v>861</v>
      </c>
      <c r="U70" s="316"/>
    </row>
    <row r="71" spans="1:21" x14ac:dyDescent="0.2">
      <c r="A71" s="33"/>
      <c r="B71" s="33"/>
      <c r="H71" s="40"/>
      <c r="I71" s="41"/>
      <c r="J71" s="39"/>
      <c r="K71" s="39"/>
      <c r="L71" s="39"/>
      <c r="M71" s="39"/>
      <c r="N71" s="39"/>
      <c r="O71" s="39"/>
      <c r="P71" s="39"/>
      <c r="Q71" s="39"/>
      <c r="R71" s="39"/>
    </row>
    <row r="72" spans="1:21" x14ac:dyDescent="0.2">
      <c r="A72" s="33"/>
      <c r="B72" s="33"/>
      <c r="H72" s="40"/>
      <c r="I72" s="41"/>
      <c r="J72" s="39"/>
      <c r="K72" s="39"/>
      <c r="L72" s="39"/>
      <c r="M72" s="39"/>
      <c r="N72" s="358" t="s">
        <v>227</v>
      </c>
      <c r="O72" s="358"/>
      <c r="P72" s="358"/>
      <c r="Q72" s="358"/>
      <c r="R72" s="358"/>
      <c r="S72" s="207">
        <f>SUM(S2:S71)</f>
        <v>322.74750000000006</v>
      </c>
    </row>
    <row r="73" spans="1:21" x14ac:dyDescent="0.2">
      <c r="A73" s="33"/>
      <c r="B73" s="33"/>
      <c r="H73" s="40"/>
      <c r="I73" s="41"/>
      <c r="J73" s="39"/>
      <c r="K73" s="39"/>
      <c r="L73" s="39"/>
      <c r="M73" s="221"/>
      <c r="N73" s="221"/>
      <c r="O73" s="221"/>
      <c r="P73" s="221"/>
      <c r="Q73" s="221"/>
      <c r="R73" s="222"/>
    </row>
    <row r="74" spans="1:21" x14ac:dyDescent="0.2">
      <c r="A74" s="33"/>
      <c r="B74" s="33"/>
      <c r="H74" s="40"/>
      <c r="I74" s="41"/>
      <c r="J74" s="39"/>
      <c r="K74" s="39"/>
      <c r="L74" s="39"/>
      <c r="M74" s="221"/>
      <c r="N74" s="221"/>
      <c r="O74" s="221"/>
      <c r="P74" s="221"/>
      <c r="Q74" s="221"/>
      <c r="R74" s="222"/>
    </row>
    <row r="75" spans="1:21" x14ac:dyDescent="0.2">
      <c r="A75" s="33"/>
      <c r="B75" s="33"/>
      <c r="C75" s="33"/>
      <c r="D75" s="33"/>
      <c r="E75" s="33"/>
      <c r="F75" s="359" t="s">
        <v>89</v>
      </c>
      <c r="G75" s="359"/>
      <c r="H75" s="359"/>
      <c r="I75" s="359"/>
      <c r="J75" s="33"/>
      <c r="K75" s="33"/>
      <c r="L75" s="365" t="s">
        <v>12</v>
      </c>
      <c r="M75" s="365"/>
      <c r="N75" s="365"/>
      <c r="O75" s="365"/>
      <c r="P75" s="179"/>
      <c r="Q75" s="179"/>
      <c r="R75" s="179"/>
      <c r="S75" s="33"/>
      <c r="T75" s="33"/>
      <c r="U75" s="33"/>
    </row>
    <row r="76" spans="1:21" x14ac:dyDescent="0.2">
      <c r="C76" s="33"/>
      <c r="D76" s="33"/>
      <c r="E76" s="33"/>
      <c r="F76" s="360" t="s">
        <v>14</v>
      </c>
      <c r="G76" s="360"/>
      <c r="H76" s="360"/>
      <c r="I76" s="360"/>
      <c r="J76" s="176"/>
      <c r="K76" s="33"/>
      <c r="L76" s="360" t="s">
        <v>18</v>
      </c>
      <c r="M76" s="360"/>
      <c r="N76" s="360"/>
      <c r="O76" s="360"/>
      <c r="P76" s="176"/>
      <c r="Q76" s="176"/>
      <c r="R76" s="176"/>
      <c r="S76" s="33"/>
      <c r="T76" s="33"/>
      <c r="U76" s="33"/>
    </row>
    <row r="77" spans="1:21" x14ac:dyDescent="0.2">
      <c r="C77" s="33"/>
      <c r="D77" s="33"/>
      <c r="E77" s="33"/>
      <c r="F77" s="356" t="s">
        <v>19</v>
      </c>
      <c r="G77" s="356"/>
      <c r="H77" s="356"/>
      <c r="I77" s="356"/>
      <c r="J77" s="177"/>
      <c r="K77" s="34"/>
      <c r="L77" s="356" t="s">
        <v>20</v>
      </c>
      <c r="M77" s="356"/>
      <c r="N77" s="356"/>
      <c r="O77" s="356"/>
      <c r="P77" s="34"/>
      <c r="Q77" s="34"/>
      <c r="R77" s="34"/>
      <c r="S77" s="33"/>
      <c r="T77" s="33"/>
      <c r="U77" s="33"/>
    </row>
    <row r="78" spans="1:21" x14ac:dyDescent="0.2">
      <c r="C78" s="33"/>
      <c r="D78" s="33"/>
      <c r="E78" s="33"/>
      <c r="F78" s="356" t="s">
        <v>15</v>
      </c>
      <c r="G78" s="356"/>
      <c r="H78" s="356"/>
      <c r="I78" s="356"/>
      <c r="J78" s="177"/>
      <c r="K78" s="33"/>
      <c r="L78" s="357" t="s">
        <v>16</v>
      </c>
      <c r="M78" s="357"/>
      <c r="N78" s="357"/>
      <c r="O78" s="357"/>
      <c r="P78" s="178"/>
      <c r="Q78" s="178"/>
      <c r="R78" s="178"/>
      <c r="S78" s="33"/>
      <c r="T78" s="33"/>
      <c r="U78" s="33"/>
    </row>
  </sheetData>
  <mergeCells count="9">
    <mergeCell ref="N72:R72"/>
    <mergeCell ref="F77:I77"/>
    <mergeCell ref="F78:I78"/>
    <mergeCell ref="L78:O78"/>
    <mergeCell ref="F75:I75"/>
    <mergeCell ref="L75:O75"/>
    <mergeCell ref="F76:I76"/>
    <mergeCell ref="L76:O76"/>
    <mergeCell ref="L77:O77"/>
  </mergeCells>
  <phoneticPr fontId="18" type="noConversion"/>
  <printOptions horizontalCentered="1"/>
  <pageMargins left="0.59055118110236227" right="0.59055118110236227" top="0.74803149606299213" bottom="0.74803149606299213" header="0.31496062992125984" footer="0.31496062992125984"/>
  <pageSetup paperSize="258" scale="6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8F59D-5DF5-4421-AAA9-7549EC7139EB}">
  <dimension ref="A1:V56"/>
  <sheetViews>
    <sheetView workbookViewId="0">
      <selection activeCell="D11" sqref="D11:I11"/>
    </sheetView>
  </sheetViews>
  <sheetFormatPr baseColWidth="10" defaultColWidth="14.42578125" defaultRowHeight="67.5" customHeight="1" x14ac:dyDescent="0.2"/>
  <cols>
    <col min="1" max="1" width="5.5703125" style="45" bestFit="1" customWidth="1"/>
    <col min="2" max="2" width="7.140625" style="45" customWidth="1"/>
    <col min="3" max="3" width="4.28515625" style="45" bestFit="1" customWidth="1"/>
    <col min="4" max="4" width="18.7109375" style="45" customWidth="1"/>
    <col min="5" max="5" width="16.42578125" style="45" bestFit="1" customWidth="1"/>
    <col min="6" max="6" width="12.140625" style="47" bestFit="1" customWidth="1"/>
    <col min="7" max="7" width="9.5703125" style="47" bestFit="1" customWidth="1"/>
    <col min="8" max="8" width="14.140625" style="45" bestFit="1" customWidth="1"/>
    <col min="9" max="9" width="18.28515625" style="45" customWidth="1"/>
    <col min="10" max="10" width="12.7109375" style="45" bestFit="1" customWidth="1"/>
    <col min="11" max="11" width="10.42578125" style="45" bestFit="1" customWidth="1"/>
    <col min="12" max="12" width="11.28515625" style="45" customWidth="1"/>
    <col min="13" max="13" width="14.5703125" style="45" customWidth="1"/>
    <col min="14" max="14" width="11" style="45" customWidth="1"/>
    <col min="15" max="15" width="13.28515625" style="45" bestFit="1" customWidth="1"/>
    <col min="16" max="16" width="11.42578125" style="45" customWidth="1"/>
    <col min="17" max="19" width="11.42578125" style="47" customWidth="1"/>
    <col min="20" max="20" width="12.85546875" style="45" customWidth="1"/>
    <col min="21" max="21" width="28.85546875" style="45" customWidth="1"/>
    <col min="22" max="16384" width="14.42578125" style="45"/>
  </cols>
  <sheetData>
    <row r="1" spans="1:22" ht="72.75" customHeight="1" x14ac:dyDescent="0.2">
      <c r="A1" s="46"/>
      <c r="B1" s="46"/>
      <c r="C1" s="46"/>
      <c r="D1" s="367"/>
      <c r="E1" s="368"/>
      <c r="F1" s="368"/>
      <c r="G1" s="368"/>
      <c r="H1" s="368"/>
      <c r="I1" s="368"/>
      <c r="J1" s="368"/>
      <c r="K1" s="368"/>
      <c r="L1" s="368"/>
      <c r="M1" s="368"/>
      <c r="N1" s="368"/>
      <c r="O1" s="368"/>
      <c r="P1" s="368"/>
      <c r="Q1" s="368"/>
      <c r="R1" s="368"/>
      <c r="S1" s="368"/>
      <c r="T1" s="368"/>
      <c r="U1" s="46"/>
    </row>
    <row r="2" spans="1:22" ht="51" x14ac:dyDescent="0.2">
      <c r="A2" s="48" t="s">
        <v>6</v>
      </c>
      <c r="B2" s="49" t="s">
        <v>1</v>
      </c>
      <c r="C2" s="48" t="s">
        <v>5</v>
      </c>
      <c r="D2" s="49" t="s">
        <v>217</v>
      </c>
      <c r="E2" s="49" t="s">
        <v>79</v>
      </c>
      <c r="F2" s="49" t="s">
        <v>268</v>
      </c>
      <c r="G2" s="49" t="s">
        <v>39</v>
      </c>
      <c r="H2" s="49" t="s">
        <v>80</v>
      </c>
      <c r="I2" s="49" t="s">
        <v>81</v>
      </c>
      <c r="J2" s="49" t="s">
        <v>4</v>
      </c>
      <c r="K2" s="49" t="s">
        <v>82</v>
      </c>
      <c r="L2" s="49" t="s">
        <v>3</v>
      </c>
      <c r="M2" s="49" t="s">
        <v>83</v>
      </c>
      <c r="N2" s="49" t="s">
        <v>2</v>
      </c>
      <c r="O2" s="49" t="s">
        <v>84</v>
      </c>
      <c r="P2" s="35" t="s">
        <v>205</v>
      </c>
      <c r="Q2" s="35" t="s">
        <v>206</v>
      </c>
      <c r="R2" s="35" t="s">
        <v>204</v>
      </c>
      <c r="S2" s="35" t="s">
        <v>0</v>
      </c>
      <c r="T2" s="49" t="s">
        <v>270</v>
      </c>
      <c r="U2" s="49" t="s">
        <v>28</v>
      </c>
    </row>
    <row r="3" spans="1:22" ht="60" x14ac:dyDescent="0.2">
      <c r="A3" s="74">
        <v>2026</v>
      </c>
      <c r="B3" s="75" t="s">
        <v>88</v>
      </c>
      <c r="C3" s="75">
        <v>1</v>
      </c>
      <c r="D3" s="75" t="s">
        <v>218</v>
      </c>
      <c r="E3" s="75" t="s">
        <v>298</v>
      </c>
      <c r="F3" s="76">
        <v>45526</v>
      </c>
      <c r="G3" s="75" t="s">
        <v>208</v>
      </c>
      <c r="H3" s="93">
        <v>52079098</v>
      </c>
      <c r="I3" s="94" t="s">
        <v>73</v>
      </c>
      <c r="J3" s="95" t="s">
        <v>21</v>
      </c>
      <c r="K3" s="95" t="s">
        <v>10</v>
      </c>
      <c r="L3" s="95" t="s">
        <v>8</v>
      </c>
      <c r="M3" s="95" t="s">
        <v>74</v>
      </c>
      <c r="N3" s="95" t="s">
        <v>23</v>
      </c>
      <c r="O3" s="95" t="s">
        <v>219</v>
      </c>
      <c r="P3" s="77">
        <f>AVERAGE(3,2,3,1,2)</f>
        <v>2.2000000000000002</v>
      </c>
      <c r="Q3" s="77">
        <f>AVERAGE(4.5,4.7,4.8,4.8,5)</f>
        <v>4.76</v>
      </c>
      <c r="R3" s="78">
        <v>4</v>
      </c>
      <c r="S3" s="79">
        <f>(AVERAGE(P3, Q3)*4) / IF(R3&lt;=3, 1, IF(R3&lt;=5, 2, R3/2))</f>
        <v>6.96</v>
      </c>
      <c r="T3" s="75" t="s">
        <v>220</v>
      </c>
      <c r="U3" s="370" t="s">
        <v>299</v>
      </c>
    </row>
    <row r="4" spans="1:22" ht="60" x14ac:dyDescent="0.2">
      <c r="A4" s="74">
        <v>2026</v>
      </c>
      <c r="B4" s="75" t="s">
        <v>88</v>
      </c>
      <c r="C4" s="75">
        <v>1</v>
      </c>
      <c r="D4" s="75" t="s">
        <v>218</v>
      </c>
      <c r="E4" s="75" t="s">
        <v>298</v>
      </c>
      <c r="F4" s="76">
        <v>45526</v>
      </c>
      <c r="G4" s="75" t="s">
        <v>208</v>
      </c>
      <c r="H4" s="74">
        <v>79567036</v>
      </c>
      <c r="I4" s="80" t="s">
        <v>53</v>
      </c>
      <c r="J4" s="75" t="s">
        <v>17</v>
      </c>
      <c r="K4" s="75" t="s">
        <v>10</v>
      </c>
      <c r="L4" s="75" t="s">
        <v>8</v>
      </c>
      <c r="M4" s="75" t="s">
        <v>54</v>
      </c>
      <c r="N4" s="75" t="s">
        <v>25</v>
      </c>
      <c r="O4" s="81" t="s">
        <v>219</v>
      </c>
      <c r="P4" s="77">
        <f>AVERAGE(3,2,3,1,2)</f>
        <v>2.2000000000000002</v>
      </c>
      <c r="Q4" s="77">
        <f>AVERAGE(4.5,4.7,4.8,4.8,5)</f>
        <v>4.76</v>
      </c>
      <c r="R4" s="78">
        <v>4</v>
      </c>
      <c r="S4" s="79">
        <f t="shared" ref="S4:S5" si="0">(AVERAGE(P4, Q4)*4) / IF(R4&lt;=3, 1, IF(R4&lt;=5, 2, R4/2))</f>
        <v>6.96</v>
      </c>
      <c r="T4" s="75" t="s">
        <v>220</v>
      </c>
      <c r="U4" s="370"/>
    </row>
    <row r="5" spans="1:22" ht="48" customHeight="1" x14ac:dyDescent="0.2">
      <c r="A5" s="74">
        <v>2026</v>
      </c>
      <c r="B5" s="75" t="s">
        <v>88</v>
      </c>
      <c r="C5" s="75">
        <v>1</v>
      </c>
      <c r="D5" s="75" t="s">
        <v>218</v>
      </c>
      <c r="E5" s="75" t="s">
        <v>298</v>
      </c>
      <c r="F5" s="76">
        <v>45526</v>
      </c>
      <c r="G5" s="75" t="s">
        <v>208</v>
      </c>
      <c r="H5" s="74">
        <v>24580571</v>
      </c>
      <c r="I5" s="80" t="s">
        <v>221</v>
      </c>
      <c r="J5" s="75" t="s">
        <v>21</v>
      </c>
      <c r="K5" s="75" t="s">
        <v>11</v>
      </c>
      <c r="L5" s="75" t="s">
        <v>8</v>
      </c>
      <c r="M5" s="75" t="s">
        <v>54</v>
      </c>
      <c r="N5" s="75" t="s">
        <v>25</v>
      </c>
      <c r="O5" s="81" t="s">
        <v>219</v>
      </c>
      <c r="P5" s="77">
        <f>AVERAGE(3,2,3,1,2)</f>
        <v>2.2000000000000002</v>
      </c>
      <c r="Q5" s="77">
        <f>AVERAGE(4.5,4.7,4.8,4.8,5)</f>
        <v>4.76</v>
      </c>
      <c r="R5" s="78">
        <v>4</v>
      </c>
      <c r="S5" s="79">
        <f t="shared" si="0"/>
        <v>6.96</v>
      </c>
      <c r="T5" s="75" t="s">
        <v>220</v>
      </c>
      <c r="U5" s="370"/>
    </row>
    <row r="6" spans="1:22" ht="24" x14ac:dyDescent="0.2">
      <c r="A6" s="74"/>
      <c r="B6" s="75"/>
      <c r="C6" s="75"/>
      <c r="D6" s="75"/>
      <c r="E6" s="75"/>
      <c r="F6" s="75"/>
      <c r="G6" s="75"/>
      <c r="H6" s="74"/>
      <c r="I6" s="75" t="s">
        <v>222</v>
      </c>
      <c r="J6" s="75"/>
      <c r="K6" s="75"/>
      <c r="L6" s="75"/>
      <c r="M6" s="75"/>
      <c r="N6" s="75"/>
      <c r="O6" s="81"/>
      <c r="P6" s="82"/>
      <c r="Q6" s="82"/>
      <c r="R6" s="82"/>
      <c r="S6" s="82"/>
      <c r="T6" s="83"/>
      <c r="U6" s="370"/>
    </row>
    <row r="7" spans="1:22" ht="12" x14ac:dyDescent="0.2">
      <c r="A7" s="50"/>
      <c r="B7" s="50"/>
      <c r="C7" s="50"/>
      <c r="D7" s="51"/>
      <c r="E7" s="52"/>
      <c r="F7" s="52"/>
      <c r="G7" s="52"/>
      <c r="H7" s="52"/>
      <c r="I7" s="52"/>
      <c r="J7" s="52"/>
      <c r="K7" s="52"/>
      <c r="L7" s="52"/>
      <c r="M7" s="52"/>
      <c r="N7" s="52"/>
      <c r="O7" s="52"/>
      <c r="P7" s="53"/>
      <c r="Q7" s="53"/>
      <c r="R7" s="53"/>
      <c r="S7" s="53"/>
      <c r="T7" s="54"/>
      <c r="U7" s="52"/>
    </row>
    <row r="8" spans="1:22" ht="12" x14ac:dyDescent="0.2">
      <c r="A8" s="46"/>
      <c r="B8" s="46"/>
      <c r="C8" s="46"/>
      <c r="D8" s="46"/>
      <c r="E8" s="46"/>
      <c r="F8" s="46"/>
      <c r="G8" s="46"/>
      <c r="H8" s="46"/>
      <c r="I8" s="46"/>
      <c r="J8" s="50"/>
      <c r="K8" s="55"/>
      <c r="L8" s="55"/>
      <c r="M8" s="55"/>
      <c r="N8" s="55"/>
      <c r="O8" s="56" t="s">
        <v>223</v>
      </c>
      <c r="P8" s="57"/>
      <c r="Q8" s="57"/>
      <c r="R8" s="57"/>
      <c r="S8" s="57">
        <f>SUM(S3:S7)</f>
        <v>20.88</v>
      </c>
      <c r="T8" s="46"/>
      <c r="U8" s="46"/>
      <c r="V8" s="46"/>
    </row>
    <row r="9" spans="1:22" ht="12" x14ac:dyDescent="0.2">
      <c r="A9" s="46"/>
      <c r="B9" s="46"/>
      <c r="C9" s="46"/>
      <c r="D9" s="46"/>
      <c r="E9" s="46"/>
      <c r="F9" s="46"/>
      <c r="G9" s="46"/>
      <c r="H9" s="46"/>
      <c r="I9" s="46"/>
      <c r="J9" s="50"/>
      <c r="K9" s="50"/>
      <c r="L9" s="50"/>
      <c r="M9" s="46"/>
      <c r="N9" s="46"/>
      <c r="O9" s="46"/>
      <c r="P9" s="58"/>
      <c r="Q9" s="58"/>
      <c r="R9" s="58"/>
      <c r="S9" s="58"/>
      <c r="T9" s="46"/>
      <c r="U9" s="46"/>
    </row>
    <row r="10" spans="1:22" ht="12" x14ac:dyDescent="0.2">
      <c r="A10" s="46"/>
      <c r="B10" s="46"/>
      <c r="C10" s="46"/>
      <c r="D10" s="46"/>
      <c r="E10" s="46"/>
      <c r="F10" s="46"/>
      <c r="G10" s="46"/>
      <c r="H10" s="46"/>
      <c r="I10" s="46"/>
      <c r="J10" s="50"/>
      <c r="K10" s="50"/>
      <c r="L10" s="50"/>
      <c r="M10" s="50"/>
      <c r="N10" s="46"/>
      <c r="O10" s="46"/>
      <c r="P10" s="58"/>
      <c r="Q10" s="58"/>
      <c r="R10" s="58"/>
      <c r="S10" s="58"/>
      <c r="T10" s="46"/>
    </row>
    <row r="11" spans="1:22" ht="12" customHeight="1" x14ac:dyDescent="0.2">
      <c r="B11" s="46"/>
      <c r="C11" s="46"/>
      <c r="D11" s="371" t="s">
        <v>12</v>
      </c>
      <c r="E11" s="371"/>
      <c r="F11" s="371"/>
      <c r="G11" s="371"/>
      <c r="H11" s="371"/>
      <c r="I11" s="371"/>
      <c r="J11" s="19"/>
      <c r="K11" s="19"/>
      <c r="L11" s="19"/>
      <c r="M11" s="19"/>
      <c r="N11" s="19"/>
      <c r="O11" s="73" t="s">
        <v>224</v>
      </c>
      <c r="P11" s="73"/>
      <c r="Q11" s="22"/>
      <c r="R11" s="22"/>
      <c r="S11" s="22"/>
      <c r="T11" s="7"/>
    </row>
    <row r="12" spans="1:22" ht="12.75" x14ac:dyDescent="0.2">
      <c r="B12" s="46"/>
      <c r="C12" s="46"/>
      <c r="D12" s="372" t="s">
        <v>14</v>
      </c>
      <c r="E12" s="372"/>
      <c r="F12" s="372"/>
      <c r="G12" s="372"/>
      <c r="H12" s="372"/>
      <c r="I12" s="372"/>
      <c r="J12" s="20"/>
      <c r="K12" s="20"/>
      <c r="L12" s="20"/>
      <c r="M12" s="20"/>
      <c r="N12" s="2"/>
      <c r="O12" s="373" t="s">
        <v>13</v>
      </c>
      <c r="P12" s="373"/>
      <c r="Q12" s="373"/>
      <c r="R12" s="373"/>
      <c r="S12" s="1"/>
      <c r="T12" s="7"/>
    </row>
    <row r="13" spans="1:22" ht="15" x14ac:dyDescent="0.25">
      <c r="B13" s="46"/>
      <c r="C13" s="46"/>
      <c r="D13" s="369" t="s">
        <v>62</v>
      </c>
      <c r="E13" s="369"/>
      <c r="F13" s="369"/>
      <c r="G13" s="369"/>
      <c r="H13" s="369"/>
      <c r="I13" s="369"/>
      <c r="J13" s="21"/>
      <c r="K13" s="21"/>
      <c r="L13" s="21"/>
      <c r="M13" s="21"/>
      <c r="N13" s="2"/>
      <c r="O13" s="372" t="s">
        <v>18</v>
      </c>
      <c r="P13" s="372"/>
      <c r="Q13" s="372"/>
      <c r="R13" s="372"/>
      <c r="S13" s="1"/>
      <c r="T13" s="10"/>
    </row>
    <row r="14" spans="1:22" ht="15" x14ac:dyDescent="0.25">
      <c r="B14" s="46"/>
      <c r="C14" s="46"/>
      <c r="D14" s="369" t="s">
        <v>15</v>
      </c>
      <c r="E14" s="369"/>
      <c r="F14" s="369"/>
      <c r="G14" s="369"/>
      <c r="H14" s="369"/>
      <c r="I14" s="369"/>
      <c r="J14" s="21"/>
      <c r="K14" s="21"/>
      <c r="L14" s="21"/>
      <c r="M14" s="21"/>
      <c r="N14" s="373" t="s">
        <v>20</v>
      </c>
      <c r="O14" s="373"/>
      <c r="P14" s="373"/>
      <c r="Q14" s="373"/>
      <c r="R14" s="373"/>
      <c r="S14" s="373"/>
      <c r="T14" s="10"/>
    </row>
    <row r="15" spans="1:22" ht="12.75" x14ac:dyDescent="0.2">
      <c r="B15" s="46"/>
      <c r="N15" s="2"/>
      <c r="O15" s="366" t="s">
        <v>16</v>
      </c>
      <c r="P15" s="366"/>
      <c r="Q15" s="366"/>
      <c r="R15" s="366"/>
      <c r="S15" s="1"/>
    </row>
    <row r="16" spans="1:22" ht="12" x14ac:dyDescent="0.2"/>
    <row r="17" ht="12" x14ac:dyDescent="0.2"/>
    <row r="18" ht="12" x14ac:dyDescent="0.2"/>
    <row r="19" ht="12" x14ac:dyDescent="0.2"/>
    <row r="20" ht="12" x14ac:dyDescent="0.2"/>
    <row r="21" ht="12" x14ac:dyDescent="0.2"/>
    <row r="22" ht="12" x14ac:dyDescent="0.2"/>
    <row r="23" ht="12" x14ac:dyDescent="0.2"/>
    <row r="24" ht="12" x14ac:dyDescent="0.2"/>
    <row r="25" ht="12" x14ac:dyDescent="0.2"/>
    <row r="26" ht="12" x14ac:dyDescent="0.2"/>
    <row r="27" ht="12" x14ac:dyDescent="0.2"/>
    <row r="28" ht="12" x14ac:dyDescent="0.2"/>
    <row r="29" ht="12" x14ac:dyDescent="0.2"/>
    <row r="30" ht="12" x14ac:dyDescent="0.2"/>
    <row r="31" ht="12" x14ac:dyDescent="0.2"/>
    <row r="32" ht="12" x14ac:dyDescent="0.2"/>
    <row r="33" ht="12" x14ac:dyDescent="0.2"/>
    <row r="34" ht="12" x14ac:dyDescent="0.2"/>
    <row r="35" ht="12" x14ac:dyDescent="0.2"/>
    <row r="36" ht="12" x14ac:dyDescent="0.2"/>
    <row r="37" ht="12" x14ac:dyDescent="0.2"/>
    <row r="38" ht="12" x14ac:dyDescent="0.2"/>
    <row r="39" ht="12" x14ac:dyDescent="0.2"/>
    <row r="40" ht="12" x14ac:dyDescent="0.2"/>
    <row r="41" ht="12" x14ac:dyDescent="0.2"/>
    <row r="42" ht="12" x14ac:dyDescent="0.2"/>
    <row r="43" ht="12" x14ac:dyDescent="0.2"/>
    <row r="44" ht="12" x14ac:dyDescent="0.2"/>
    <row r="45" ht="12" x14ac:dyDescent="0.2"/>
    <row r="46" ht="12" x14ac:dyDescent="0.2"/>
    <row r="47" ht="12" x14ac:dyDescent="0.2"/>
    <row r="48" ht="12" x14ac:dyDescent="0.2"/>
    <row r="49" ht="12" x14ac:dyDescent="0.2"/>
    <row r="50" ht="12" x14ac:dyDescent="0.2"/>
    <row r="51" ht="12" x14ac:dyDescent="0.2"/>
    <row r="52" ht="12" x14ac:dyDescent="0.2"/>
    <row r="53" ht="12" x14ac:dyDescent="0.2"/>
    <row r="54" ht="12" x14ac:dyDescent="0.2"/>
    <row r="55" ht="12" x14ac:dyDescent="0.2"/>
    <row r="56" ht="12" x14ac:dyDescent="0.2"/>
  </sheetData>
  <mergeCells count="10">
    <mergeCell ref="O15:R15"/>
    <mergeCell ref="D1:T1"/>
    <mergeCell ref="D14:I14"/>
    <mergeCell ref="U3:U6"/>
    <mergeCell ref="D11:I11"/>
    <mergeCell ref="D12:I12"/>
    <mergeCell ref="D13:I13"/>
    <mergeCell ref="O12:R12"/>
    <mergeCell ref="O13:R13"/>
    <mergeCell ref="N14:S1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D15C-8AD4-4B3B-869A-991A33FEE3A4}">
  <sheetPr>
    <tabColor theme="6" tint="0.59999389629810485"/>
  </sheetPr>
  <dimension ref="A1:Q17"/>
  <sheetViews>
    <sheetView zoomScaleNormal="100" zoomScalePageLayoutView="90" workbookViewId="0">
      <selection sqref="A1:XFD1"/>
    </sheetView>
  </sheetViews>
  <sheetFormatPr baseColWidth="10" defaultRowHeight="12.75" x14ac:dyDescent="0.2"/>
  <cols>
    <col min="1" max="1" width="5.140625" style="98" customWidth="1"/>
    <col min="2" max="2" width="6.5703125" style="98" customWidth="1"/>
    <col min="3" max="3" width="5.140625" style="98" customWidth="1"/>
    <col min="4" max="4" width="14.5703125" style="98" customWidth="1"/>
    <col min="5" max="5" width="15.28515625" style="98" customWidth="1"/>
    <col min="6" max="6" width="9.5703125" style="98" customWidth="1"/>
    <col min="7" max="7" width="10.5703125" style="98" customWidth="1"/>
    <col min="8" max="8" width="11" style="98" bestFit="1" customWidth="1"/>
    <col min="9" max="9" width="13" style="98" customWidth="1"/>
    <col min="10" max="10" width="12.7109375" style="98" customWidth="1"/>
    <col min="11" max="11" width="17.5703125" style="98" customWidth="1"/>
    <col min="12" max="12" width="12.7109375" style="98" customWidth="1"/>
    <col min="13" max="13" width="14.85546875" style="98" customWidth="1"/>
    <col min="14" max="14" width="9.42578125" style="98" bestFit="1" customWidth="1"/>
    <col min="15" max="15" width="10.42578125" style="98" bestFit="1" customWidth="1"/>
    <col min="16" max="16" width="12.42578125" style="98" customWidth="1"/>
    <col min="17" max="17" width="29.42578125" style="98" customWidth="1"/>
    <col min="18" max="16384" width="11.42578125" style="98"/>
  </cols>
  <sheetData>
    <row r="1" spans="1:17" ht="38.25" x14ac:dyDescent="0.2">
      <c r="A1" s="35" t="s">
        <v>6</v>
      </c>
      <c r="B1" s="35" t="s">
        <v>1</v>
      </c>
      <c r="C1" s="35" t="s">
        <v>5</v>
      </c>
      <c r="D1" s="35" t="s">
        <v>228</v>
      </c>
      <c r="E1" s="35" t="s">
        <v>7</v>
      </c>
      <c r="F1" s="35" t="s">
        <v>4</v>
      </c>
      <c r="G1" s="35" t="s">
        <v>82</v>
      </c>
      <c r="H1" s="35" t="s">
        <v>3</v>
      </c>
      <c r="I1" s="35" t="s">
        <v>83</v>
      </c>
      <c r="J1" s="35" t="s">
        <v>2</v>
      </c>
      <c r="K1" s="35" t="s">
        <v>229</v>
      </c>
      <c r="L1" s="35" t="s">
        <v>230</v>
      </c>
      <c r="M1" s="35" t="s">
        <v>231</v>
      </c>
      <c r="N1" s="35" t="s">
        <v>232</v>
      </c>
      <c r="O1" s="37" t="s">
        <v>0</v>
      </c>
      <c r="P1" s="37" t="s">
        <v>270</v>
      </c>
      <c r="Q1" s="37" t="s">
        <v>87</v>
      </c>
    </row>
    <row r="2" spans="1:17" ht="76.5" x14ac:dyDescent="0.2">
      <c r="A2" s="350">
        <v>2026</v>
      </c>
      <c r="B2" s="350" t="s">
        <v>88</v>
      </c>
      <c r="C2" s="350">
        <v>1</v>
      </c>
      <c r="D2" s="277">
        <v>41935619</v>
      </c>
      <c r="E2" s="273" t="s">
        <v>619</v>
      </c>
      <c r="F2" s="350" t="s">
        <v>21</v>
      </c>
      <c r="G2" s="350" t="s">
        <v>10</v>
      </c>
      <c r="H2" s="350" t="s">
        <v>8</v>
      </c>
      <c r="I2" s="350" t="s">
        <v>70</v>
      </c>
      <c r="J2" s="274" t="s">
        <v>56</v>
      </c>
      <c r="K2" s="350" t="s">
        <v>601</v>
      </c>
      <c r="L2" s="350" t="s">
        <v>602</v>
      </c>
      <c r="M2" s="350" t="s">
        <v>598</v>
      </c>
      <c r="N2" s="275">
        <v>45957</v>
      </c>
      <c r="O2" s="276">
        <v>10</v>
      </c>
      <c r="P2" s="234" t="s">
        <v>861</v>
      </c>
      <c r="Q2" s="350" t="s">
        <v>599</v>
      </c>
    </row>
    <row r="3" spans="1:17" ht="25.5" x14ac:dyDescent="0.2">
      <c r="A3" s="350">
        <v>2026</v>
      </c>
      <c r="B3" s="350" t="s">
        <v>88</v>
      </c>
      <c r="C3" s="350">
        <v>1</v>
      </c>
      <c r="D3" s="277"/>
      <c r="E3" s="350" t="s">
        <v>620</v>
      </c>
      <c r="F3" s="350"/>
      <c r="G3" s="350"/>
      <c r="H3" s="350"/>
      <c r="I3" s="350"/>
      <c r="J3" s="274"/>
      <c r="K3" s="278"/>
      <c r="L3" s="278"/>
      <c r="M3" s="278"/>
      <c r="N3" s="279"/>
      <c r="O3" s="276"/>
      <c r="P3" s="278"/>
      <c r="Q3" s="278"/>
    </row>
    <row r="4" spans="1:17" ht="25.5" x14ac:dyDescent="0.2">
      <c r="A4" s="350">
        <v>2026</v>
      </c>
      <c r="B4" s="350" t="s">
        <v>88</v>
      </c>
      <c r="C4" s="350">
        <v>1</v>
      </c>
      <c r="D4" s="277"/>
      <c r="E4" s="350" t="s">
        <v>603</v>
      </c>
      <c r="F4" s="350"/>
      <c r="G4" s="350"/>
      <c r="H4" s="350"/>
      <c r="I4" s="350"/>
      <c r="J4" s="274"/>
      <c r="K4" s="278"/>
      <c r="L4" s="278"/>
      <c r="M4" s="278"/>
      <c r="N4" s="279"/>
      <c r="O4" s="276"/>
      <c r="P4" s="278"/>
      <c r="Q4" s="278"/>
    </row>
    <row r="5" spans="1:17" ht="63.75" x14ac:dyDescent="0.2">
      <c r="A5" s="225">
        <v>2026</v>
      </c>
      <c r="B5" s="225" t="s">
        <v>88</v>
      </c>
      <c r="C5" s="225">
        <v>2</v>
      </c>
      <c r="D5" s="225">
        <v>1094947500</v>
      </c>
      <c r="E5" s="209" t="s">
        <v>697</v>
      </c>
      <c r="F5" s="219" t="s">
        <v>21</v>
      </c>
      <c r="G5" s="219" t="s">
        <v>59</v>
      </c>
      <c r="H5" s="225" t="s">
        <v>8</v>
      </c>
      <c r="I5" s="225" t="s">
        <v>202</v>
      </c>
      <c r="J5" s="218" t="s">
        <v>63</v>
      </c>
      <c r="K5" s="225" t="s">
        <v>695</v>
      </c>
      <c r="L5" s="225" t="s">
        <v>698</v>
      </c>
      <c r="M5" s="225" t="s">
        <v>696</v>
      </c>
      <c r="N5" s="247">
        <v>45793</v>
      </c>
      <c r="O5" s="206">
        <v>10</v>
      </c>
      <c r="P5" s="234" t="s">
        <v>861</v>
      </c>
      <c r="Q5" s="225" t="s">
        <v>699</v>
      </c>
    </row>
    <row r="6" spans="1:17" ht="89.25" x14ac:dyDescent="0.2">
      <c r="A6" s="355">
        <v>2026</v>
      </c>
      <c r="B6" s="355" t="s">
        <v>88</v>
      </c>
      <c r="C6" s="355">
        <v>3</v>
      </c>
      <c r="D6" s="277">
        <v>51802215</v>
      </c>
      <c r="E6" s="273" t="s">
        <v>700</v>
      </c>
      <c r="F6" s="355" t="s">
        <v>21</v>
      </c>
      <c r="G6" s="355" t="s">
        <v>11</v>
      </c>
      <c r="H6" s="355" t="s">
        <v>8</v>
      </c>
      <c r="I6" s="355" t="s">
        <v>58</v>
      </c>
      <c r="J6" s="274" t="s">
        <v>52</v>
      </c>
      <c r="K6" s="355" t="s">
        <v>701</v>
      </c>
      <c r="L6" s="355" t="s">
        <v>702</v>
      </c>
      <c r="M6" s="355" t="s">
        <v>703</v>
      </c>
      <c r="N6" s="275">
        <v>45926</v>
      </c>
      <c r="O6" s="88">
        <v>3</v>
      </c>
      <c r="P6" s="234" t="s">
        <v>861</v>
      </c>
      <c r="Q6" s="355" t="s">
        <v>862</v>
      </c>
    </row>
    <row r="7" spans="1:17" ht="25.5" x14ac:dyDescent="0.2">
      <c r="A7" s="355">
        <v>2026</v>
      </c>
      <c r="B7" s="355" t="s">
        <v>88</v>
      </c>
      <c r="C7" s="355">
        <v>3</v>
      </c>
      <c r="D7" s="277"/>
      <c r="E7" s="355" t="s">
        <v>706</v>
      </c>
      <c r="F7" s="355"/>
      <c r="G7" s="355"/>
      <c r="H7" s="355"/>
      <c r="I7" s="355"/>
      <c r="J7" s="274"/>
      <c r="K7" s="355"/>
      <c r="L7" s="355"/>
      <c r="M7" s="355"/>
      <c r="N7" s="279"/>
      <c r="O7" s="276"/>
      <c r="P7" s="355"/>
      <c r="Q7" s="278"/>
    </row>
    <row r="8" spans="1:17" ht="25.5" x14ac:dyDescent="0.2">
      <c r="A8" s="355">
        <v>2026</v>
      </c>
      <c r="B8" s="355" t="s">
        <v>88</v>
      </c>
      <c r="C8" s="355">
        <v>3</v>
      </c>
      <c r="D8" s="277"/>
      <c r="E8" s="355" t="s">
        <v>704</v>
      </c>
      <c r="F8" s="355"/>
      <c r="G8" s="355"/>
      <c r="H8" s="355"/>
      <c r="I8" s="355"/>
      <c r="J8" s="274"/>
      <c r="K8" s="278"/>
      <c r="L8" s="278"/>
      <c r="M8" s="278"/>
      <c r="N8" s="279"/>
      <c r="O8" s="276"/>
      <c r="P8" s="278"/>
      <c r="Q8" s="278"/>
    </row>
    <row r="9" spans="1:17" ht="25.5" x14ac:dyDescent="0.2">
      <c r="A9" s="355">
        <v>2026</v>
      </c>
      <c r="B9" s="355" t="s">
        <v>88</v>
      </c>
      <c r="C9" s="355">
        <v>3</v>
      </c>
      <c r="D9" s="277"/>
      <c r="E9" s="355" t="s">
        <v>705</v>
      </c>
      <c r="F9" s="355"/>
      <c r="G9" s="355"/>
      <c r="H9" s="355"/>
      <c r="I9" s="355"/>
      <c r="J9" s="274"/>
      <c r="K9" s="278"/>
      <c r="L9" s="278"/>
      <c r="M9" s="278"/>
      <c r="N9" s="279"/>
      <c r="O9" s="276"/>
      <c r="P9" s="278"/>
      <c r="Q9" s="278"/>
    </row>
    <row r="10" spans="1:17" x14ac:dyDescent="0.2">
      <c r="C10" s="181"/>
      <c r="F10" s="349"/>
      <c r="G10" s="349"/>
      <c r="H10" s="349"/>
      <c r="I10" s="31"/>
      <c r="M10" s="348"/>
      <c r="N10" s="348"/>
    </row>
    <row r="11" spans="1:17" x14ac:dyDescent="0.2">
      <c r="C11" s="181"/>
      <c r="F11" s="349"/>
      <c r="G11" s="349"/>
      <c r="H11" s="349"/>
      <c r="I11" s="31"/>
      <c r="L11" s="374" t="s">
        <v>233</v>
      </c>
      <c r="M11" s="374"/>
      <c r="N11" s="374"/>
      <c r="O11" s="213">
        <f>SUM(O2:O10)</f>
        <v>23</v>
      </c>
    </row>
    <row r="12" spans="1:17" ht="11.25" customHeight="1" x14ac:dyDescent="0.2">
      <c r="C12" s="181"/>
      <c r="F12" s="349"/>
      <c r="G12" s="349"/>
      <c r="H12" s="349"/>
      <c r="I12" s="31"/>
      <c r="M12" s="348"/>
      <c r="N12" s="348"/>
      <c r="Q12" s="272"/>
    </row>
    <row r="13" spans="1:17" x14ac:dyDescent="0.2">
      <c r="C13" s="181"/>
      <c r="F13" s="349"/>
      <c r="G13" s="349"/>
      <c r="H13" s="349"/>
      <c r="I13" s="31"/>
      <c r="M13" s="348"/>
      <c r="N13" s="348"/>
      <c r="Q13" s="272"/>
    </row>
    <row r="14" spans="1:17" x14ac:dyDescent="0.2">
      <c r="A14" s="33"/>
      <c r="B14" s="33"/>
      <c r="C14" s="33"/>
      <c r="D14" s="33"/>
      <c r="E14" s="33"/>
      <c r="F14" s="359" t="s">
        <v>12</v>
      </c>
      <c r="G14" s="359"/>
      <c r="H14" s="359"/>
      <c r="I14" s="359"/>
      <c r="J14" s="33"/>
      <c r="K14" s="359" t="s">
        <v>13</v>
      </c>
      <c r="L14" s="359"/>
      <c r="M14" s="359"/>
      <c r="N14" s="359"/>
      <c r="O14" s="33"/>
      <c r="P14" s="33"/>
      <c r="Q14" s="33"/>
    </row>
    <row r="15" spans="1:17" ht="9" customHeight="1" x14ac:dyDescent="0.2">
      <c r="A15" s="33"/>
      <c r="B15" s="33"/>
      <c r="C15" s="33"/>
      <c r="D15" s="33"/>
      <c r="E15" s="33"/>
      <c r="F15" s="360" t="s">
        <v>14</v>
      </c>
      <c r="G15" s="360"/>
      <c r="H15" s="360"/>
      <c r="I15" s="360"/>
      <c r="J15" s="33"/>
      <c r="K15" s="360" t="s">
        <v>18</v>
      </c>
      <c r="L15" s="360"/>
      <c r="M15" s="360"/>
      <c r="N15" s="360"/>
      <c r="O15" s="33"/>
      <c r="P15" s="33"/>
      <c r="Q15" s="33"/>
    </row>
    <row r="16" spans="1:17" x14ac:dyDescent="0.2">
      <c r="A16" s="33"/>
      <c r="B16" s="33"/>
      <c r="C16" s="33"/>
      <c r="D16" s="33"/>
      <c r="E16" s="33"/>
      <c r="F16" s="356" t="s">
        <v>19</v>
      </c>
      <c r="G16" s="356"/>
      <c r="H16" s="356"/>
      <c r="I16" s="356"/>
      <c r="J16" s="33"/>
      <c r="K16" s="356" t="s">
        <v>20</v>
      </c>
      <c r="L16" s="356"/>
      <c r="M16" s="356"/>
      <c r="N16" s="356"/>
      <c r="O16" s="33"/>
      <c r="P16" s="33"/>
      <c r="Q16" s="33"/>
    </row>
    <row r="17" spans="1:17" x14ac:dyDescent="0.2">
      <c r="A17" s="33"/>
      <c r="B17" s="33"/>
      <c r="C17" s="33"/>
      <c r="D17" s="33"/>
      <c r="E17" s="33"/>
      <c r="F17" s="356" t="s">
        <v>15</v>
      </c>
      <c r="G17" s="356"/>
      <c r="H17" s="356"/>
      <c r="I17" s="356"/>
      <c r="J17" s="33"/>
      <c r="K17" s="357" t="s">
        <v>16</v>
      </c>
      <c r="L17" s="357"/>
      <c r="M17" s="357"/>
      <c r="N17" s="357"/>
      <c r="O17" s="33"/>
      <c r="P17" s="33"/>
      <c r="Q17" s="33"/>
    </row>
  </sheetData>
  <mergeCells count="9">
    <mergeCell ref="F16:I16"/>
    <mergeCell ref="K16:N16"/>
    <mergeCell ref="F17:I17"/>
    <mergeCell ref="K17:N17"/>
    <mergeCell ref="L11:N11"/>
    <mergeCell ref="F14:I14"/>
    <mergeCell ref="K14:N14"/>
    <mergeCell ref="F15:I15"/>
    <mergeCell ref="K15:N15"/>
  </mergeCells>
  <dataValidations disablePrompts="1" count="1">
    <dataValidation allowBlank="1" showInputMessage="1" showErrorMessage="1" prompt="Ingrese el autor, si es más de un autor presione la tecla ALT + ENTER para ingresar el segundo y así sucesivamente " sqref="O1:Q1" xr:uid="{FF071A86-D8A4-4176-BE69-0CDCCFC10C3B}"/>
  </dataValidations>
  <printOptions horizontalCentered="1"/>
  <pageMargins left="0.70866141732283472" right="0.70866141732283472" top="0.74803149606299213" bottom="0.74803149606299213" header="0.31496062992125984" footer="0.31496062992125984"/>
  <pageSetup paperSize="258"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D7698-9894-4FF4-8B77-8E0F77480E66}">
  <dimension ref="A1:R6"/>
  <sheetViews>
    <sheetView workbookViewId="0">
      <selection activeCell="L15" sqref="L15"/>
    </sheetView>
  </sheetViews>
  <sheetFormatPr baseColWidth="10" defaultRowHeight="15" x14ac:dyDescent="0.25"/>
  <cols>
    <col min="1" max="1" width="5.85546875" style="3" bestFit="1" customWidth="1"/>
    <col min="2" max="2" width="9.85546875" style="3" bestFit="1" customWidth="1"/>
    <col min="3" max="3" width="5.28515625" style="11" customWidth="1"/>
    <col min="4" max="4" width="13.42578125" style="3" customWidth="1"/>
    <col min="5" max="5" width="26.85546875" style="3" customWidth="1"/>
    <col min="6" max="6" width="13.7109375" style="3" customWidth="1"/>
    <col min="7" max="7" width="12" style="3" customWidth="1"/>
    <col min="8" max="8" width="10.85546875" style="3" customWidth="1"/>
    <col min="9" max="9" width="10.140625" style="3" customWidth="1"/>
    <col min="10" max="10" width="30.7109375" style="3" customWidth="1"/>
    <col min="11" max="11" width="16" style="3" customWidth="1"/>
    <col min="12" max="12" width="13" style="3" customWidth="1"/>
    <col min="13" max="13" width="10.28515625" style="3" customWidth="1"/>
    <col min="14" max="14" width="14.5703125" style="3" customWidth="1"/>
    <col min="15" max="15" width="9.5703125" style="3" customWidth="1"/>
    <col min="16" max="16" width="12.7109375" style="3" customWidth="1"/>
    <col min="17" max="17" width="10.28515625" style="11" customWidth="1"/>
    <col min="18" max="18" width="15.140625" style="3" bestFit="1" customWidth="1"/>
    <col min="19" max="16384" width="11.42578125" style="3"/>
  </cols>
  <sheetData>
    <row r="1" spans="1:18" ht="72" customHeight="1" x14ac:dyDescent="0.25">
      <c r="C1" s="3"/>
      <c r="D1" s="375"/>
      <c r="E1" s="375"/>
      <c r="F1" s="375"/>
      <c r="G1" s="375"/>
      <c r="H1" s="375"/>
      <c r="I1" s="375"/>
      <c r="J1" s="375"/>
      <c r="K1" s="375"/>
      <c r="L1" s="375"/>
      <c r="M1" s="375"/>
      <c r="N1" s="375"/>
      <c r="O1" s="375"/>
      <c r="P1" s="375"/>
      <c r="Q1" s="375"/>
      <c r="R1" s="375"/>
    </row>
    <row r="2" spans="1:18" s="14" customFormat="1" ht="51" x14ac:dyDescent="0.2">
      <c r="A2" s="61" t="s">
        <v>6</v>
      </c>
      <c r="B2" s="61" t="s">
        <v>1</v>
      </c>
      <c r="C2" s="61" t="s">
        <v>5</v>
      </c>
      <c r="D2" s="61" t="s">
        <v>234</v>
      </c>
      <c r="E2" s="61" t="s">
        <v>42</v>
      </c>
      <c r="F2" s="61" t="s">
        <v>83</v>
      </c>
      <c r="G2" s="61" t="s">
        <v>2</v>
      </c>
      <c r="H2" s="61" t="s">
        <v>235</v>
      </c>
      <c r="I2" s="61" t="s">
        <v>236</v>
      </c>
      <c r="J2" s="61" t="s">
        <v>237</v>
      </c>
      <c r="K2" s="61" t="s">
        <v>238</v>
      </c>
      <c r="L2" s="61" t="s">
        <v>239</v>
      </c>
      <c r="M2" s="61" t="s">
        <v>240</v>
      </c>
      <c r="N2" s="61" t="s">
        <v>241</v>
      </c>
      <c r="O2" s="61" t="s">
        <v>204</v>
      </c>
      <c r="P2" s="61" t="s">
        <v>0</v>
      </c>
      <c r="Q2" s="61" t="s">
        <v>270</v>
      </c>
      <c r="R2" s="61" t="s">
        <v>28</v>
      </c>
    </row>
    <row r="3" spans="1:18" s="14" customFormat="1" ht="61.5" customHeight="1" x14ac:dyDescent="0.2">
      <c r="A3" s="78">
        <v>2026</v>
      </c>
      <c r="B3" s="78" t="s">
        <v>88</v>
      </c>
      <c r="C3" s="78">
        <v>1</v>
      </c>
      <c r="D3" s="78">
        <v>16356361</v>
      </c>
      <c r="E3" s="85" t="s">
        <v>242</v>
      </c>
      <c r="F3" s="78" t="s">
        <v>243</v>
      </c>
      <c r="G3" s="78" t="s">
        <v>56</v>
      </c>
      <c r="H3" s="78" t="s">
        <v>244</v>
      </c>
      <c r="I3" s="78" t="s">
        <v>245</v>
      </c>
      <c r="J3" s="78" t="s">
        <v>246</v>
      </c>
      <c r="K3" s="78" t="s">
        <v>269</v>
      </c>
      <c r="L3" s="78" t="s">
        <v>247</v>
      </c>
      <c r="M3" s="78" t="s">
        <v>248</v>
      </c>
      <c r="N3" s="78" t="s">
        <v>249</v>
      </c>
      <c r="O3" s="78">
        <v>2</v>
      </c>
      <c r="P3" s="79">
        <v>0</v>
      </c>
      <c r="Q3" s="78" t="s">
        <v>250</v>
      </c>
      <c r="R3" s="78"/>
    </row>
    <row r="4" spans="1:18" s="14" customFormat="1" ht="63.75" x14ac:dyDescent="0.2">
      <c r="A4" s="78">
        <v>2026</v>
      </c>
      <c r="B4" s="78" t="s">
        <v>88</v>
      </c>
      <c r="C4" s="78">
        <v>1</v>
      </c>
      <c r="D4" s="78">
        <v>41885303</v>
      </c>
      <c r="E4" s="85" t="s">
        <v>251</v>
      </c>
      <c r="F4" s="78" t="s">
        <v>243</v>
      </c>
      <c r="G4" s="78" t="s">
        <v>56</v>
      </c>
      <c r="H4" s="78" t="s">
        <v>244</v>
      </c>
      <c r="I4" s="78" t="s">
        <v>245</v>
      </c>
      <c r="J4" s="78" t="s">
        <v>246</v>
      </c>
      <c r="K4" s="78" t="s">
        <v>269</v>
      </c>
      <c r="L4" s="78" t="s">
        <v>247</v>
      </c>
      <c r="M4" s="78" t="s">
        <v>248</v>
      </c>
      <c r="N4" s="78" t="s">
        <v>249</v>
      </c>
      <c r="O4" s="78">
        <v>2</v>
      </c>
      <c r="P4" s="79">
        <v>0</v>
      </c>
      <c r="Q4" s="78" t="s">
        <v>250</v>
      </c>
      <c r="R4" s="78"/>
    </row>
    <row r="5" spans="1:18" s="14" customFormat="1" ht="12.75" x14ac:dyDescent="0.2">
      <c r="A5" s="33"/>
      <c r="B5" s="33"/>
      <c r="C5" s="33"/>
      <c r="D5" s="33"/>
      <c r="E5" s="33"/>
      <c r="F5" s="33"/>
      <c r="G5" s="33"/>
      <c r="H5" s="33"/>
      <c r="I5" s="33"/>
      <c r="J5" s="33"/>
      <c r="K5" s="33"/>
      <c r="L5" s="33"/>
      <c r="M5" s="33"/>
      <c r="N5" s="33"/>
      <c r="O5" s="33"/>
      <c r="P5" s="44"/>
      <c r="Q5" s="42"/>
      <c r="R5" s="33"/>
    </row>
    <row r="6" spans="1:18" s="14" customFormat="1" ht="12.75" x14ac:dyDescent="0.2">
      <c r="C6" s="31"/>
      <c r="L6" s="63"/>
      <c r="M6" s="364" t="s">
        <v>252</v>
      </c>
      <c r="N6" s="364"/>
      <c r="O6" s="364"/>
      <c r="P6" s="62">
        <f>SUM(P3:P5)</f>
        <v>0</v>
      </c>
      <c r="Q6" s="31"/>
    </row>
  </sheetData>
  <mergeCells count="2">
    <mergeCell ref="M6:O6"/>
    <mergeCell ref="D1:R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E6C1-4677-4E7B-B66F-EF8E564D1578}">
  <sheetPr>
    <tabColor theme="6" tint="0.59999389629810485"/>
  </sheetPr>
  <dimension ref="A1:U41"/>
  <sheetViews>
    <sheetView zoomScaleNormal="100" workbookViewId="0">
      <selection sqref="A1:XFD1"/>
    </sheetView>
  </sheetViews>
  <sheetFormatPr baseColWidth="10" defaultRowHeight="72" customHeight="1" x14ac:dyDescent="0.2"/>
  <cols>
    <col min="1" max="1" width="4.42578125" style="98" bestFit="1" customWidth="1"/>
    <col min="2" max="2" width="6" style="281" customWidth="1"/>
    <col min="3" max="3" width="3.42578125" style="98" bestFit="1" customWidth="1"/>
    <col min="4" max="4" width="11.7109375" style="98" bestFit="1" customWidth="1"/>
    <col min="5" max="5" width="6.28515625" style="98" customWidth="1"/>
    <col min="6" max="6" width="14.140625" style="98" bestFit="1" customWidth="1"/>
    <col min="7" max="7" width="8" style="98" customWidth="1"/>
    <col min="8" max="8" width="14.42578125" style="98" bestFit="1" customWidth="1"/>
    <col min="9" max="9" width="9" style="98" customWidth="1"/>
    <col min="10" max="10" width="14.5703125" style="98" customWidth="1"/>
    <col min="11" max="11" width="11.140625" style="98" customWidth="1"/>
    <col min="12" max="12" width="8.28515625" style="98" customWidth="1"/>
    <col min="13" max="13" width="10.7109375" style="98" customWidth="1"/>
    <col min="14" max="14" width="6.5703125" style="98" bestFit="1" customWidth="1"/>
    <col min="15" max="15" width="10.7109375" style="98" customWidth="1"/>
    <col min="16" max="16" width="10.140625" style="98" customWidth="1"/>
    <col min="17" max="17" width="13.85546875" style="98" customWidth="1"/>
    <col min="18" max="18" width="12.42578125" style="98" bestFit="1" customWidth="1"/>
    <col min="19" max="19" width="10.42578125" style="98" customWidth="1"/>
    <col min="20" max="20" width="9" style="33" bestFit="1" customWidth="1"/>
    <col min="21" max="21" width="14.42578125" style="98" customWidth="1"/>
    <col min="22" max="16384" width="11.42578125" style="98"/>
  </cols>
  <sheetData>
    <row r="1" spans="1:21" s="300" customFormat="1" ht="72" customHeight="1" x14ac:dyDescent="0.25">
      <c r="A1" s="35" t="s">
        <v>6</v>
      </c>
      <c r="B1" s="35" t="s">
        <v>1</v>
      </c>
      <c r="C1" s="35" t="s">
        <v>5</v>
      </c>
      <c r="D1" s="35" t="s">
        <v>253</v>
      </c>
      <c r="E1" s="35" t="s">
        <v>33</v>
      </c>
      <c r="F1" s="35" t="s">
        <v>254</v>
      </c>
      <c r="G1" s="35" t="s">
        <v>212</v>
      </c>
      <c r="H1" s="35" t="s">
        <v>255</v>
      </c>
      <c r="I1" s="35" t="s">
        <v>256</v>
      </c>
      <c r="J1" s="35" t="s">
        <v>80</v>
      </c>
      <c r="K1" s="35" t="s">
        <v>81</v>
      </c>
      <c r="L1" s="35" t="s">
        <v>4</v>
      </c>
      <c r="M1" s="35" t="s">
        <v>82</v>
      </c>
      <c r="N1" s="35" t="s">
        <v>3</v>
      </c>
      <c r="O1" s="35" t="s">
        <v>83</v>
      </c>
      <c r="P1" s="35" t="s">
        <v>2</v>
      </c>
      <c r="Q1" s="35" t="s">
        <v>84</v>
      </c>
      <c r="R1" s="35" t="s">
        <v>85</v>
      </c>
      <c r="S1" s="35" t="s">
        <v>0</v>
      </c>
      <c r="T1" s="35" t="s">
        <v>270</v>
      </c>
      <c r="U1" s="35" t="s">
        <v>28</v>
      </c>
    </row>
    <row r="2" spans="1:21" s="300" customFormat="1" ht="72" customHeight="1" x14ac:dyDescent="0.25">
      <c r="A2" s="310">
        <v>2026</v>
      </c>
      <c r="B2" s="310" t="s">
        <v>24</v>
      </c>
      <c r="C2" s="310">
        <v>1</v>
      </c>
      <c r="D2" s="225" t="s">
        <v>793</v>
      </c>
      <c r="E2" s="225" t="s">
        <v>794</v>
      </c>
      <c r="F2" s="225" t="s">
        <v>257</v>
      </c>
      <c r="G2" s="225" t="s">
        <v>50</v>
      </c>
      <c r="H2" s="225" t="s">
        <v>795</v>
      </c>
      <c r="I2" s="225" t="s">
        <v>258</v>
      </c>
      <c r="J2" s="225">
        <v>89004182</v>
      </c>
      <c r="K2" s="209" t="s">
        <v>259</v>
      </c>
      <c r="L2" s="225" t="s">
        <v>21</v>
      </c>
      <c r="M2" s="225" t="s">
        <v>10</v>
      </c>
      <c r="N2" s="225" t="s">
        <v>8</v>
      </c>
      <c r="O2" s="225" t="s">
        <v>108</v>
      </c>
      <c r="P2" s="225" t="s">
        <v>25</v>
      </c>
      <c r="Q2" s="225" t="s">
        <v>9</v>
      </c>
      <c r="R2" s="225" t="s">
        <v>859</v>
      </c>
      <c r="S2" s="206">
        <v>18.3</v>
      </c>
      <c r="T2" s="352" t="s">
        <v>861</v>
      </c>
      <c r="U2" s="311" t="s">
        <v>796</v>
      </c>
    </row>
    <row r="3" spans="1:21" s="300" customFormat="1" ht="13.5" x14ac:dyDescent="0.25">
      <c r="B3" s="296"/>
      <c r="C3" s="301"/>
      <c r="D3" s="302"/>
      <c r="E3" s="302"/>
      <c r="F3" s="302"/>
      <c r="G3" s="302"/>
      <c r="H3" s="302"/>
      <c r="I3" s="302"/>
      <c r="J3" s="302"/>
      <c r="K3" s="303"/>
      <c r="L3" s="302"/>
      <c r="M3" s="302"/>
      <c r="N3" s="302"/>
      <c r="O3" s="302"/>
      <c r="P3" s="302"/>
      <c r="Q3" s="302"/>
      <c r="R3" s="302"/>
      <c r="S3" s="304"/>
      <c r="T3" s="305"/>
    </row>
    <row r="4" spans="1:21" ht="13.5" x14ac:dyDescent="0.2">
      <c r="P4" s="364" t="s">
        <v>260</v>
      </c>
      <c r="Q4" s="364"/>
      <c r="R4" s="364"/>
      <c r="S4" s="306">
        <f>SUM(S2:S2)</f>
        <v>18.3</v>
      </c>
      <c r="T4" s="98"/>
    </row>
    <row r="5" spans="1:21" ht="13.5" x14ac:dyDescent="0.2">
      <c r="P5" s="283"/>
      <c r="Q5" s="283"/>
      <c r="R5" s="283"/>
      <c r="S5" s="307"/>
      <c r="T5" s="98"/>
    </row>
    <row r="6" spans="1:21" ht="13.5" x14ac:dyDescent="0.2">
      <c r="Q6" s="283"/>
      <c r="R6" s="283"/>
      <c r="S6" s="283"/>
      <c r="T6" s="307"/>
    </row>
    <row r="7" spans="1:21" s="299" customFormat="1" ht="16.5" x14ac:dyDescent="0.3">
      <c r="A7" s="308"/>
      <c r="B7" s="309"/>
      <c r="C7" s="308"/>
      <c r="D7" s="308"/>
      <c r="E7" s="308"/>
      <c r="F7" s="308"/>
      <c r="G7" s="378" t="s">
        <v>12</v>
      </c>
      <c r="H7" s="378"/>
      <c r="I7" s="378"/>
      <c r="J7" s="378"/>
      <c r="K7" s="378"/>
      <c r="L7" s="378" t="s">
        <v>13</v>
      </c>
      <c r="M7" s="378"/>
      <c r="N7" s="378"/>
      <c r="O7" s="378"/>
      <c r="P7" s="378"/>
      <c r="Q7" s="378"/>
      <c r="R7" s="308"/>
      <c r="S7" s="308"/>
    </row>
    <row r="8" spans="1:21" s="299" customFormat="1" ht="13.5" customHeight="1" x14ac:dyDescent="0.3">
      <c r="A8" s="308"/>
      <c r="B8" s="309"/>
      <c r="C8" s="308"/>
      <c r="D8" s="308"/>
      <c r="E8" s="308"/>
      <c r="F8" s="308"/>
      <c r="G8" s="379" t="s">
        <v>14</v>
      </c>
      <c r="H8" s="379"/>
      <c r="I8" s="379"/>
      <c r="J8" s="379"/>
      <c r="K8" s="379"/>
      <c r="L8" s="308"/>
      <c r="M8" s="379" t="s">
        <v>18</v>
      </c>
      <c r="N8" s="379"/>
      <c r="O8" s="379"/>
      <c r="P8" s="379"/>
      <c r="Q8" s="308"/>
      <c r="R8" s="308"/>
      <c r="S8" s="308"/>
    </row>
    <row r="9" spans="1:21" s="299" customFormat="1" ht="13.5" customHeight="1" x14ac:dyDescent="0.3">
      <c r="A9" s="297"/>
      <c r="B9" s="298"/>
      <c r="C9" s="297"/>
      <c r="D9" s="297"/>
      <c r="E9" s="297"/>
      <c r="F9" s="297"/>
      <c r="G9" s="376" t="s">
        <v>19</v>
      </c>
      <c r="H9" s="376"/>
      <c r="I9" s="376"/>
      <c r="J9" s="376"/>
      <c r="K9" s="376"/>
      <c r="L9" s="376" t="s">
        <v>20</v>
      </c>
      <c r="M9" s="376"/>
      <c r="N9" s="376"/>
      <c r="O9" s="376"/>
      <c r="P9" s="376"/>
      <c r="Q9" s="376"/>
      <c r="R9" s="297"/>
      <c r="S9" s="297"/>
    </row>
    <row r="10" spans="1:21" s="299" customFormat="1" ht="13.5" customHeight="1" x14ac:dyDescent="0.3">
      <c r="A10" s="297"/>
      <c r="B10" s="298"/>
      <c r="C10" s="297"/>
      <c r="D10" s="297"/>
      <c r="E10" s="297"/>
      <c r="F10" s="297"/>
      <c r="G10" s="376" t="s">
        <v>15</v>
      </c>
      <c r="H10" s="376"/>
      <c r="I10" s="376"/>
      <c r="J10" s="376"/>
      <c r="K10" s="376"/>
      <c r="L10" s="297"/>
      <c r="M10" s="377" t="s">
        <v>16</v>
      </c>
      <c r="N10" s="377"/>
      <c r="O10" s="377"/>
      <c r="P10" s="377"/>
      <c r="Q10" s="297"/>
      <c r="R10" s="297"/>
      <c r="S10" s="297"/>
    </row>
    <row r="11" spans="1:21" ht="12.75" x14ac:dyDescent="0.2">
      <c r="T11" s="98"/>
      <c r="U11" s="33"/>
    </row>
    <row r="12" spans="1:21" ht="12.75" x14ac:dyDescent="0.2"/>
    <row r="13" spans="1:21" ht="12.75" x14ac:dyDescent="0.2"/>
    <row r="14" spans="1:21" ht="12.75" x14ac:dyDescent="0.2"/>
    <row r="15" spans="1:21" ht="12.75" x14ac:dyDescent="0.2"/>
    <row r="16" spans="1:21" ht="12.75" x14ac:dyDescent="0.2"/>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row r="27" ht="12.75" x14ac:dyDescent="0.2"/>
    <row r="28" ht="12.75" x14ac:dyDescent="0.2"/>
    <row r="29" ht="12.75" x14ac:dyDescent="0.2"/>
    <row r="30" ht="12.75" x14ac:dyDescent="0.2"/>
    <row r="31" ht="12.75" x14ac:dyDescent="0.2"/>
    <row r="32"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sheetData>
  <mergeCells count="9">
    <mergeCell ref="G9:K9"/>
    <mergeCell ref="L9:Q9"/>
    <mergeCell ref="G10:K10"/>
    <mergeCell ref="M10:P10"/>
    <mergeCell ref="P4:R4"/>
    <mergeCell ref="G7:K7"/>
    <mergeCell ref="L7:Q7"/>
    <mergeCell ref="G8:K8"/>
    <mergeCell ref="M8:P8"/>
  </mergeCells>
  <pageMargins left="0.7" right="0.7" top="0.75" bottom="0.75" header="0.3" footer="0.3"/>
  <pageSetup paperSize="258" scale="7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C178-7291-4D17-AEA6-B0FCE5AF358B}">
  <sheetPr>
    <tabColor theme="6" tint="0.59999389629810485"/>
  </sheetPr>
  <dimension ref="A1:S26"/>
  <sheetViews>
    <sheetView tabSelected="1" zoomScale="90" zoomScaleNormal="90" zoomScalePageLayoutView="90" workbookViewId="0">
      <selection sqref="A1:XFD1"/>
    </sheetView>
  </sheetViews>
  <sheetFormatPr baseColWidth="10" defaultRowHeight="12.75" x14ac:dyDescent="0.2"/>
  <cols>
    <col min="1" max="1" width="5" style="98" bestFit="1" customWidth="1"/>
    <col min="2" max="2" width="9.85546875" style="98" bestFit="1" customWidth="1"/>
    <col min="3" max="3" width="3.5703125" style="98" bestFit="1" customWidth="1"/>
    <col min="4" max="4" width="20.42578125" style="98" customWidth="1"/>
    <col min="5" max="5" width="12" style="98" bestFit="1" customWidth="1"/>
    <col min="6" max="6" width="12" style="98" customWidth="1"/>
    <col min="7" max="7" width="12.7109375" style="98" bestFit="1" customWidth="1"/>
    <col min="8" max="8" width="18.42578125" style="98" customWidth="1"/>
    <col min="9" max="9" width="9.7109375" style="98" customWidth="1"/>
    <col min="10" max="10" width="10.42578125" style="98" bestFit="1" customWidth="1"/>
    <col min="11" max="11" width="11.42578125" style="98"/>
    <col min="12" max="12" width="16.140625" style="98" customWidth="1"/>
    <col min="13" max="13" width="11.7109375" style="98" customWidth="1"/>
    <col min="14" max="14" width="11.42578125" style="98"/>
    <col min="15" max="15" width="14.42578125" style="98" customWidth="1"/>
    <col min="16" max="16" width="10" style="98" bestFit="1" customWidth="1"/>
    <col min="17" max="17" width="11.42578125" style="98"/>
    <col min="18" max="18" width="27" style="98" customWidth="1"/>
    <col min="19" max="16384" width="11.42578125" style="98"/>
  </cols>
  <sheetData>
    <row r="1" spans="1:19" ht="51" x14ac:dyDescent="0.2">
      <c r="A1" s="35" t="s">
        <v>6</v>
      </c>
      <c r="B1" s="35" t="s">
        <v>1</v>
      </c>
      <c r="C1" s="36" t="s">
        <v>5</v>
      </c>
      <c r="D1" s="35" t="s">
        <v>271</v>
      </c>
      <c r="E1" s="35" t="s">
        <v>272</v>
      </c>
      <c r="F1" s="35" t="s">
        <v>273</v>
      </c>
      <c r="G1" s="35" t="s">
        <v>261</v>
      </c>
      <c r="H1" s="35" t="s">
        <v>81</v>
      </c>
      <c r="I1" s="35" t="s">
        <v>4</v>
      </c>
      <c r="J1" s="35" t="s">
        <v>82</v>
      </c>
      <c r="K1" s="35" t="s">
        <v>3</v>
      </c>
      <c r="L1" s="35" t="s">
        <v>83</v>
      </c>
      <c r="M1" s="35" t="s">
        <v>2</v>
      </c>
      <c r="N1" s="35" t="s">
        <v>274</v>
      </c>
      <c r="O1" s="35" t="s">
        <v>85</v>
      </c>
      <c r="P1" s="35" t="s">
        <v>275</v>
      </c>
      <c r="Q1" s="35" t="s">
        <v>86</v>
      </c>
      <c r="R1" s="35" t="s">
        <v>29</v>
      </c>
    </row>
    <row r="2" spans="1:19" ht="77.25" customHeight="1" x14ac:dyDescent="0.2">
      <c r="A2" s="337">
        <v>2026</v>
      </c>
      <c r="B2" s="337" t="s">
        <v>24</v>
      </c>
      <c r="C2" s="337">
        <v>1</v>
      </c>
      <c r="D2" s="337" t="s">
        <v>826</v>
      </c>
      <c r="E2" s="337" t="s">
        <v>276</v>
      </c>
      <c r="F2" s="338">
        <v>2025</v>
      </c>
      <c r="G2" s="339">
        <v>9732960</v>
      </c>
      <c r="H2" s="340" t="s">
        <v>827</v>
      </c>
      <c r="I2" s="314" t="s">
        <v>21</v>
      </c>
      <c r="J2" s="341" t="s">
        <v>11</v>
      </c>
      <c r="K2" s="314" t="s">
        <v>8</v>
      </c>
      <c r="L2" s="342" t="s">
        <v>828</v>
      </c>
      <c r="M2" s="314" t="s">
        <v>198</v>
      </c>
      <c r="N2" s="314" t="s">
        <v>9</v>
      </c>
      <c r="O2" s="345" t="s">
        <v>848</v>
      </c>
      <c r="P2" s="332">
        <v>0</v>
      </c>
      <c r="Q2" s="336" t="s">
        <v>861</v>
      </c>
      <c r="R2" s="380" t="s">
        <v>849</v>
      </c>
      <c r="S2" s="323"/>
    </row>
    <row r="3" spans="1:19" ht="71.25" customHeight="1" x14ac:dyDescent="0.2">
      <c r="A3" s="337">
        <v>2026</v>
      </c>
      <c r="B3" s="337" t="s">
        <v>24</v>
      </c>
      <c r="C3" s="337">
        <v>1</v>
      </c>
      <c r="D3" s="337" t="s">
        <v>826</v>
      </c>
      <c r="E3" s="337" t="s">
        <v>276</v>
      </c>
      <c r="F3" s="338">
        <v>2025</v>
      </c>
      <c r="G3" s="343">
        <v>10276247</v>
      </c>
      <c r="H3" s="344" t="s">
        <v>817</v>
      </c>
      <c r="I3" s="314" t="s">
        <v>21</v>
      </c>
      <c r="J3" s="341" t="s">
        <v>11</v>
      </c>
      <c r="K3" s="314" t="s">
        <v>8</v>
      </c>
      <c r="L3" s="342" t="s">
        <v>197</v>
      </c>
      <c r="M3" s="314" t="s">
        <v>198</v>
      </c>
      <c r="N3" s="314" t="s">
        <v>9</v>
      </c>
      <c r="O3" s="345" t="s">
        <v>848</v>
      </c>
      <c r="P3" s="332">
        <v>0</v>
      </c>
      <c r="Q3" s="336" t="s">
        <v>861</v>
      </c>
      <c r="R3" s="380"/>
      <c r="S3" s="323"/>
    </row>
    <row r="4" spans="1:19" ht="49.5" customHeight="1" x14ac:dyDescent="0.2">
      <c r="A4" s="337">
        <v>2026</v>
      </c>
      <c r="B4" s="337" t="s">
        <v>24</v>
      </c>
      <c r="C4" s="337">
        <v>1</v>
      </c>
      <c r="D4" s="337"/>
      <c r="E4" s="337"/>
      <c r="F4" s="338"/>
      <c r="G4" s="338"/>
      <c r="H4" s="337" t="s">
        <v>829</v>
      </c>
      <c r="I4" s="337"/>
      <c r="J4" s="338"/>
      <c r="K4" s="337"/>
      <c r="L4" s="345"/>
      <c r="M4" s="314"/>
      <c r="N4" s="314" t="s">
        <v>9</v>
      </c>
      <c r="O4" s="345"/>
      <c r="P4" s="332"/>
      <c r="Q4" s="346"/>
      <c r="R4" s="380"/>
      <c r="S4" s="323"/>
    </row>
    <row r="5" spans="1:19" ht="89.25" x14ac:dyDescent="0.2">
      <c r="A5" s="322">
        <v>2026</v>
      </c>
      <c r="B5" s="322" t="s">
        <v>24</v>
      </c>
      <c r="C5" s="313">
        <v>2</v>
      </c>
      <c r="D5" s="313" t="s">
        <v>830</v>
      </c>
      <c r="E5" s="322" t="s">
        <v>276</v>
      </c>
      <c r="F5" s="277">
        <v>2025</v>
      </c>
      <c r="G5" s="321">
        <v>89001325</v>
      </c>
      <c r="H5" s="209" t="s">
        <v>277</v>
      </c>
      <c r="I5" s="313" t="s">
        <v>17</v>
      </c>
      <c r="J5" s="210" t="s">
        <v>11</v>
      </c>
      <c r="K5" s="225" t="s">
        <v>8</v>
      </c>
      <c r="L5" s="324" t="s">
        <v>186</v>
      </c>
      <c r="M5" s="313" t="s">
        <v>56</v>
      </c>
      <c r="N5" s="225" t="s">
        <v>9</v>
      </c>
      <c r="O5" s="333" t="s">
        <v>853</v>
      </c>
      <c r="P5" s="334">
        <v>5</v>
      </c>
      <c r="Q5" s="354" t="s">
        <v>861</v>
      </c>
      <c r="R5" s="335" t="s">
        <v>851</v>
      </c>
      <c r="S5" s="323"/>
    </row>
    <row r="6" spans="1:19" ht="101.25" customHeight="1" x14ac:dyDescent="0.2">
      <c r="A6" s="322">
        <v>2026</v>
      </c>
      <c r="B6" s="322" t="s">
        <v>24</v>
      </c>
      <c r="C6" s="313">
        <v>3</v>
      </c>
      <c r="D6" s="313" t="s">
        <v>831</v>
      </c>
      <c r="E6" s="322" t="s">
        <v>276</v>
      </c>
      <c r="F6" s="277">
        <v>2025</v>
      </c>
      <c r="G6" s="321">
        <v>1094901176</v>
      </c>
      <c r="H6" s="273" t="s">
        <v>279</v>
      </c>
      <c r="I6" s="313" t="s">
        <v>17</v>
      </c>
      <c r="J6" s="277" t="s">
        <v>10</v>
      </c>
      <c r="K6" s="225" t="s">
        <v>8</v>
      </c>
      <c r="L6" s="324" t="s">
        <v>71</v>
      </c>
      <c r="M6" s="313" t="s">
        <v>27</v>
      </c>
      <c r="N6" s="225" t="s">
        <v>9</v>
      </c>
      <c r="O6" s="333" t="s">
        <v>850</v>
      </c>
      <c r="P6" s="334">
        <v>4.9000000000000004</v>
      </c>
      <c r="Q6" s="354" t="s">
        <v>861</v>
      </c>
      <c r="R6" s="335" t="s">
        <v>852</v>
      </c>
      <c r="S6" s="323"/>
    </row>
    <row r="7" spans="1:19" ht="76.5" x14ac:dyDescent="0.2">
      <c r="A7" s="322">
        <v>2026</v>
      </c>
      <c r="B7" s="322" t="s">
        <v>24</v>
      </c>
      <c r="C7" s="313">
        <v>3</v>
      </c>
      <c r="D7" s="313" t="s">
        <v>831</v>
      </c>
      <c r="E7" s="322" t="s">
        <v>276</v>
      </c>
      <c r="F7" s="277">
        <v>2025</v>
      </c>
      <c r="G7" s="321">
        <v>89007291</v>
      </c>
      <c r="H7" s="273" t="s">
        <v>278</v>
      </c>
      <c r="I7" s="225" t="s">
        <v>21</v>
      </c>
      <c r="J7" s="277" t="s">
        <v>10</v>
      </c>
      <c r="K7" s="225" t="s">
        <v>8</v>
      </c>
      <c r="L7" s="324" t="s">
        <v>71</v>
      </c>
      <c r="M7" s="313" t="s">
        <v>27</v>
      </c>
      <c r="N7" s="225" t="s">
        <v>9</v>
      </c>
      <c r="O7" s="333" t="s">
        <v>850</v>
      </c>
      <c r="P7" s="334">
        <v>4.9000000000000004</v>
      </c>
      <c r="Q7" s="354" t="s">
        <v>861</v>
      </c>
      <c r="R7" s="335" t="s">
        <v>852</v>
      </c>
      <c r="S7" s="323"/>
    </row>
    <row r="8" spans="1:19" ht="25.5" x14ac:dyDescent="0.2">
      <c r="A8" s="322">
        <v>2026</v>
      </c>
      <c r="B8" s="322" t="s">
        <v>24</v>
      </c>
      <c r="C8" s="313">
        <v>3</v>
      </c>
      <c r="D8" s="313"/>
      <c r="E8" s="313"/>
      <c r="F8" s="277"/>
      <c r="G8" s="326"/>
      <c r="H8" s="313" t="s">
        <v>832</v>
      </c>
      <c r="I8" s="325"/>
      <c r="J8" s="326"/>
      <c r="K8" s="325"/>
      <c r="L8" s="327"/>
      <c r="M8" s="313"/>
      <c r="N8" s="313"/>
      <c r="O8" s="327"/>
      <c r="P8" s="328"/>
      <c r="Q8" s="351"/>
      <c r="R8" s="329"/>
      <c r="S8" s="323"/>
    </row>
    <row r="9" spans="1:19" ht="76.5" x14ac:dyDescent="0.2">
      <c r="A9" s="322">
        <v>2026</v>
      </c>
      <c r="B9" s="322" t="s">
        <v>24</v>
      </c>
      <c r="C9" s="313">
        <v>4</v>
      </c>
      <c r="D9" s="313" t="s">
        <v>833</v>
      </c>
      <c r="E9" s="322" t="s">
        <v>276</v>
      </c>
      <c r="F9" s="277">
        <v>2025</v>
      </c>
      <c r="G9" s="277">
        <v>1094890604</v>
      </c>
      <c r="H9" s="273" t="s">
        <v>720</v>
      </c>
      <c r="I9" s="225" t="s">
        <v>21</v>
      </c>
      <c r="J9" s="277" t="s">
        <v>10</v>
      </c>
      <c r="K9" s="225" t="s">
        <v>8</v>
      </c>
      <c r="L9" s="324" t="s">
        <v>55</v>
      </c>
      <c r="M9" s="313" t="s">
        <v>56</v>
      </c>
      <c r="N9" s="225" t="s">
        <v>9</v>
      </c>
      <c r="O9" s="333" t="s">
        <v>855</v>
      </c>
      <c r="P9" s="347">
        <v>5.5</v>
      </c>
      <c r="Q9" s="354" t="s">
        <v>861</v>
      </c>
      <c r="R9" s="335" t="s">
        <v>852</v>
      </c>
      <c r="S9" s="323"/>
    </row>
    <row r="10" spans="1:19" ht="76.5" x14ac:dyDescent="0.2">
      <c r="A10" s="322">
        <v>2026</v>
      </c>
      <c r="B10" s="322" t="s">
        <v>24</v>
      </c>
      <c r="C10" s="313">
        <v>4</v>
      </c>
      <c r="D10" s="313" t="s">
        <v>833</v>
      </c>
      <c r="E10" s="322" t="s">
        <v>276</v>
      </c>
      <c r="F10" s="277">
        <v>2025</v>
      </c>
      <c r="G10" s="277">
        <v>41961829</v>
      </c>
      <c r="H10" s="273" t="s">
        <v>834</v>
      </c>
      <c r="I10" s="225" t="s">
        <v>21</v>
      </c>
      <c r="J10" s="277" t="s">
        <v>22</v>
      </c>
      <c r="K10" s="225" t="s">
        <v>8</v>
      </c>
      <c r="L10" s="324" t="s">
        <v>55</v>
      </c>
      <c r="M10" s="313" t="s">
        <v>56</v>
      </c>
      <c r="N10" s="225" t="s">
        <v>9</v>
      </c>
      <c r="O10" s="333" t="s">
        <v>855</v>
      </c>
      <c r="P10" s="347">
        <v>5.5</v>
      </c>
      <c r="Q10" s="354" t="s">
        <v>861</v>
      </c>
      <c r="R10" s="335" t="s">
        <v>852</v>
      </c>
      <c r="S10" s="323"/>
    </row>
    <row r="11" spans="1:19" x14ac:dyDescent="0.2">
      <c r="A11" s="322">
        <v>2026</v>
      </c>
      <c r="B11" s="322" t="s">
        <v>24</v>
      </c>
      <c r="C11" s="313">
        <v>4</v>
      </c>
      <c r="D11" s="313"/>
      <c r="E11" s="313"/>
      <c r="F11" s="277"/>
      <c r="G11" s="326"/>
      <c r="H11" s="313" t="s">
        <v>835</v>
      </c>
      <c r="I11" s="325"/>
      <c r="J11" s="326"/>
      <c r="K11" s="325"/>
      <c r="L11" s="327"/>
      <c r="M11" s="313"/>
      <c r="N11" s="313"/>
      <c r="O11" s="327"/>
      <c r="P11" s="328"/>
      <c r="Q11" s="351"/>
      <c r="R11" s="329"/>
      <c r="S11" s="323"/>
    </row>
    <row r="12" spans="1:19" ht="114.75" x14ac:dyDescent="0.2">
      <c r="A12" s="322">
        <v>2026</v>
      </c>
      <c r="B12" s="322" t="s">
        <v>24</v>
      </c>
      <c r="C12" s="313">
        <v>5</v>
      </c>
      <c r="D12" s="313" t="s">
        <v>836</v>
      </c>
      <c r="E12" s="322" t="s">
        <v>276</v>
      </c>
      <c r="F12" s="277">
        <v>2025</v>
      </c>
      <c r="G12" s="277">
        <v>89006026</v>
      </c>
      <c r="H12" s="273" t="s">
        <v>837</v>
      </c>
      <c r="I12" s="316" t="s">
        <v>17</v>
      </c>
      <c r="J12" s="277" t="s">
        <v>10</v>
      </c>
      <c r="K12" s="225" t="s">
        <v>8</v>
      </c>
      <c r="L12" s="324" t="s">
        <v>60</v>
      </c>
      <c r="M12" s="316" t="s">
        <v>27</v>
      </c>
      <c r="N12" s="225" t="s">
        <v>9</v>
      </c>
      <c r="O12" s="333" t="s">
        <v>856</v>
      </c>
      <c r="P12" s="347">
        <v>5.3</v>
      </c>
      <c r="Q12" s="354" t="s">
        <v>861</v>
      </c>
      <c r="R12" s="335" t="s">
        <v>852</v>
      </c>
      <c r="S12" s="323"/>
    </row>
    <row r="13" spans="1:19" ht="25.5" x14ac:dyDescent="0.2">
      <c r="A13" s="322">
        <v>2026</v>
      </c>
      <c r="B13" s="322" t="s">
        <v>24</v>
      </c>
      <c r="C13" s="313">
        <v>5</v>
      </c>
      <c r="D13" s="313"/>
      <c r="E13" s="313"/>
      <c r="F13" s="277"/>
      <c r="G13" s="326"/>
      <c r="H13" s="313" t="s">
        <v>838</v>
      </c>
      <c r="I13" s="325"/>
      <c r="J13" s="326"/>
      <c r="K13" s="325"/>
      <c r="L13" s="327"/>
      <c r="M13" s="313"/>
      <c r="N13" s="313"/>
      <c r="O13" s="327"/>
      <c r="P13" s="328"/>
      <c r="Q13" s="351"/>
      <c r="R13" s="329"/>
      <c r="S13" s="323"/>
    </row>
    <row r="14" spans="1:19" ht="25.5" x14ac:dyDescent="0.2">
      <c r="A14" s="322">
        <v>2026</v>
      </c>
      <c r="B14" s="322" t="s">
        <v>24</v>
      </c>
      <c r="C14" s="313">
        <v>5</v>
      </c>
      <c r="D14" s="313"/>
      <c r="E14" s="313"/>
      <c r="F14" s="277"/>
      <c r="G14" s="326"/>
      <c r="H14" s="313" t="s">
        <v>839</v>
      </c>
      <c r="I14" s="325"/>
      <c r="J14" s="326"/>
      <c r="K14" s="325"/>
      <c r="L14" s="327"/>
      <c r="M14" s="313"/>
      <c r="N14" s="313"/>
      <c r="O14" s="327"/>
      <c r="P14" s="328"/>
      <c r="Q14" s="351"/>
      <c r="R14" s="329"/>
      <c r="S14" s="323"/>
    </row>
    <row r="15" spans="1:19" ht="76.5" x14ac:dyDescent="0.2">
      <c r="A15" s="322">
        <v>2026</v>
      </c>
      <c r="B15" s="322" t="s">
        <v>24</v>
      </c>
      <c r="C15" s="313">
        <v>6</v>
      </c>
      <c r="D15" s="313" t="s">
        <v>840</v>
      </c>
      <c r="E15" s="313" t="s">
        <v>842</v>
      </c>
      <c r="F15" s="277">
        <v>2025</v>
      </c>
      <c r="G15" s="321">
        <v>17657692</v>
      </c>
      <c r="H15" s="273" t="s">
        <v>841</v>
      </c>
      <c r="I15" s="225" t="s">
        <v>21</v>
      </c>
      <c r="J15" s="277" t="s">
        <v>10</v>
      </c>
      <c r="K15" s="225" t="s">
        <v>8</v>
      </c>
      <c r="L15" s="324" t="s">
        <v>71</v>
      </c>
      <c r="M15" s="316" t="s">
        <v>27</v>
      </c>
      <c r="N15" s="225" t="s">
        <v>9</v>
      </c>
      <c r="O15" s="333" t="s">
        <v>854</v>
      </c>
      <c r="P15" s="347">
        <v>12.5</v>
      </c>
      <c r="Q15" s="354" t="s">
        <v>861</v>
      </c>
      <c r="R15" s="335" t="s">
        <v>852</v>
      </c>
      <c r="S15" s="323"/>
    </row>
    <row r="16" spans="1:19" ht="76.5" x14ac:dyDescent="0.2">
      <c r="A16" s="322">
        <v>2026</v>
      </c>
      <c r="B16" s="322" t="s">
        <v>24</v>
      </c>
      <c r="C16" s="313">
        <v>6</v>
      </c>
      <c r="D16" s="316" t="s">
        <v>840</v>
      </c>
      <c r="E16" s="316" t="s">
        <v>842</v>
      </c>
      <c r="F16" s="277">
        <v>2025</v>
      </c>
      <c r="G16" s="321">
        <v>41922558</v>
      </c>
      <c r="H16" s="273" t="s">
        <v>816</v>
      </c>
      <c r="I16" s="225" t="s">
        <v>21</v>
      </c>
      <c r="J16" s="210" t="s">
        <v>11</v>
      </c>
      <c r="K16" s="225" t="s">
        <v>8</v>
      </c>
      <c r="L16" s="211" t="s">
        <v>828</v>
      </c>
      <c r="M16" s="225" t="s">
        <v>198</v>
      </c>
      <c r="N16" s="225" t="s">
        <v>9</v>
      </c>
      <c r="O16" s="333" t="s">
        <v>854</v>
      </c>
      <c r="P16" s="347">
        <v>12.5</v>
      </c>
      <c r="Q16" s="354" t="s">
        <v>861</v>
      </c>
      <c r="R16" s="335" t="s">
        <v>852</v>
      </c>
      <c r="S16" s="323"/>
    </row>
    <row r="17" spans="1:19" x14ac:dyDescent="0.2">
      <c r="A17" s="322">
        <v>2026</v>
      </c>
      <c r="B17" s="322" t="s">
        <v>24</v>
      </c>
      <c r="C17" s="313">
        <v>6</v>
      </c>
      <c r="D17" s="313"/>
      <c r="E17" s="313"/>
      <c r="F17" s="277"/>
      <c r="G17" s="326"/>
      <c r="H17" s="313" t="s">
        <v>843</v>
      </c>
      <c r="I17" s="325"/>
      <c r="J17" s="326"/>
      <c r="K17" s="325"/>
      <c r="L17" s="327"/>
      <c r="M17" s="313"/>
      <c r="N17" s="313"/>
      <c r="O17" s="327"/>
      <c r="P17" s="328"/>
      <c r="Q17" s="329"/>
      <c r="R17" s="329"/>
      <c r="S17" s="323"/>
    </row>
    <row r="18" spans="1:19" x14ac:dyDescent="0.2">
      <c r="A18" s="330"/>
      <c r="B18" s="330"/>
      <c r="C18" s="330"/>
      <c r="D18" s="330"/>
      <c r="E18" s="330"/>
      <c r="F18" s="330"/>
      <c r="G18" s="330"/>
      <c r="H18" s="330"/>
      <c r="I18" s="330"/>
      <c r="J18" s="330"/>
      <c r="K18" s="330"/>
      <c r="L18" s="330"/>
      <c r="M18" s="330"/>
      <c r="N18" s="330"/>
      <c r="O18" s="330"/>
      <c r="P18" s="330"/>
      <c r="Q18" s="330"/>
      <c r="R18" s="330"/>
      <c r="S18" s="32"/>
    </row>
    <row r="19" spans="1:19" x14ac:dyDescent="0.2">
      <c r="K19" s="181"/>
      <c r="L19" s="364" t="s">
        <v>280</v>
      </c>
      <c r="M19" s="364"/>
      <c r="N19" s="364"/>
      <c r="O19" s="364"/>
      <c r="P19" s="331">
        <f>SUM(P2:P18)</f>
        <v>56.1</v>
      </c>
    </row>
    <row r="22" spans="1:19" x14ac:dyDescent="0.2">
      <c r="B22" s="33"/>
      <c r="C22" s="33"/>
      <c r="D22" s="33"/>
      <c r="E22" s="33"/>
      <c r="F22" s="359" t="s">
        <v>12</v>
      </c>
      <c r="G22" s="359"/>
      <c r="H22" s="359"/>
      <c r="I22" s="359"/>
      <c r="J22" s="33"/>
      <c r="K22" s="359" t="s">
        <v>13</v>
      </c>
      <c r="L22" s="359"/>
      <c r="M22" s="359"/>
      <c r="N22" s="359"/>
      <c r="O22" s="33"/>
      <c r="P22" s="33"/>
      <c r="Q22" s="33"/>
    </row>
    <row r="23" spans="1:19" ht="12" customHeight="1" x14ac:dyDescent="0.2">
      <c r="B23" s="33"/>
      <c r="C23" s="33"/>
      <c r="D23" s="33"/>
      <c r="E23" s="33"/>
      <c r="F23" s="360" t="s">
        <v>14</v>
      </c>
      <c r="G23" s="360"/>
      <c r="H23" s="360"/>
      <c r="I23" s="360"/>
      <c r="J23" s="33"/>
      <c r="K23" s="360" t="s">
        <v>18</v>
      </c>
      <c r="L23" s="360"/>
      <c r="M23" s="360"/>
      <c r="N23" s="360"/>
      <c r="O23" s="33"/>
      <c r="P23" s="33"/>
      <c r="Q23" s="33"/>
    </row>
    <row r="24" spans="1:19" ht="12" customHeight="1" x14ac:dyDescent="0.2">
      <c r="A24" s="33"/>
      <c r="B24" s="33"/>
      <c r="C24" s="33"/>
      <c r="D24" s="33"/>
      <c r="E24" s="33"/>
      <c r="F24" s="356" t="s">
        <v>19</v>
      </c>
      <c r="G24" s="356"/>
      <c r="H24" s="356"/>
      <c r="I24" s="356"/>
      <c r="J24" s="33"/>
      <c r="K24" s="356" t="s">
        <v>20</v>
      </c>
      <c r="L24" s="356"/>
      <c r="M24" s="356"/>
      <c r="N24" s="356"/>
      <c r="O24" s="33"/>
      <c r="P24" s="33"/>
      <c r="Q24" s="33"/>
    </row>
    <row r="25" spans="1:19" ht="12" customHeight="1" x14ac:dyDescent="0.2">
      <c r="A25" s="33"/>
      <c r="B25" s="33"/>
      <c r="C25" s="33"/>
      <c r="D25" s="33"/>
      <c r="E25" s="33"/>
      <c r="F25" s="356" t="s">
        <v>15</v>
      </c>
      <c r="G25" s="356"/>
      <c r="H25" s="356"/>
      <c r="I25" s="356"/>
      <c r="J25" s="33"/>
      <c r="K25" s="357" t="s">
        <v>16</v>
      </c>
      <c r="L25" s="357"/>
      <c r="M25" s="357"/>
      <c r="N25" s="357"/>
      <c r="O25" s="33"/>
      <c r="P25" s="33"/>
      <c r="Q25" s="33"/>
    </row>
    <row r="26" spans="1:19" x14ac:dyDescent="0.2">
      <c r="E26" s="356"/>
      <c r="F26" s="356"/>
      <c r="G26" s="356"/>
      <c r="H26" s="356"/>
      <c r="I26" s="356"/>
      <c r="J26" s="312"/>
      <c r="K26" s="33"/>
      <c r="L26" s="357"/>
      <c r="M26" s="357"/>
      <c r="N26" s="357"/>
      <c r="O26" s="357"/>
      <c r="P26" s="357"/>
    </row>
  </sheetData>
  <mergeCells count="12">
    <mergeCell ref="R2:R4"/>
    <mergeCell ref="L19:O19"/>
    <mergeCell ref="F22:I22"/>
    <mergeCell ref="K22:N22"/>
    <mergeCell ref="E26:I26"/>
    <mergeCell ref="L26:P26"/>
    <mergeCell ref="F23:I23"/>
    <mergeCell ref="K23:N23"/>
    <mergeCell ref="F24:I24"/>
    <mergeCell ref="K24:N24"/>
    <mergeCell ref="F25:I25"/>
    <mergeCell ref="K25:N25"/>
  </mergeCells>
  <pageMargins left="0.70866141732283472" right="0.70866141732283472" top="0.74803149606299213" bottom="0.74803149606299213" header="0.31496062992125984" footer="0.31496062992125984"/>
  <pageSetup paperSize="258" scale="6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E379-B147-40EE-8A7E-EA80B28E6303}">
  <dimension ref="A1:T123"/>
  <sheetViews>
    <sheetView workbookViewId="0">
      <selection activeCell="F20" sqref="F20"/>
    </sheetView>
  </sheetViews>
  <sheetFormatPr baseColWidth="10" defaultRowHeight="71.25" customHeight="1" x14ac:dyDescent="0.2"/>
  <cols>
    <col min="1" max="1" width="5.85546875" style="67" bestFit="1" customWidth="1"/>
    <col min="2" max="2" width="8.28515625" style="67" customWidth="1"/>
    <col min="3" max="3" width="5" style="67" bestFit="1" customWidth="1"/>
    <col min="4" max="4" width="11.85546875" style="67" customWidth="1"/>
    <col min="5" max="5" width="13.85546875" style="67" customWidth="1"/>
    <col min="6" max="6" width="12.140625" style="67" customWidth="1"/>
    <col min="7" max="7" width="12.7109375" style="67" bestFit="1" customWidth="1"/>
    <col min="8" max="8" width="18.42578125" style="67" customWidth="1"/>
    <col min="9" max="9" width="13.140625" style="67" bestFit="1" customWidth="1"/>
    <col min="10" max="10" width="11.7109375" style="67" customWidth="1"/>
    <col min="11" max="11" width="11" style="67" customWidth="1"/>
    <col min="12" max="12" width="14" style="67" customWidth="1"/>
    <col min="13" max="13" width="13" style="67" customWidth="1"/>
    <col min="14" max="14" width="18" style="67" customWidth="1"/>
    <col min="15" max="15" width="13.42578125" style="67" customWidth="1"/>
    <col min="16" max="16" width="10.28515625" style="67" customWidth="1"/>
    <col min="17" max="17" width="12" style="67" bestFit="1" customWidth="1"/>
    <col min="18" max="18" width="32.85546875" style="67" customWidth="1"/>
    <col min="19" max="16384" width="11.42578125" style="67"/>
  </cols>
  <sheetData>
    <row r="1" spans="1:20" s="47" customFormat="1" ht="72" customHeight="1" x14ac:dyDescent="0.2">
      <c r="C1" s="25"/>
      <c r="D1" s="25"/>
      <c r="E1" s="64"/>
      <c r="F1" s="25"/>
      <c r="G1" s="385"/>
      <c r="H1" s="385"/>
      <c r="I1" s="385"/>
      <c r="J1" s="385"/>
      <c r="K1" s="385"/>
      <c r="L1" s="385"/>
      <c r="M1" s="385"/>
      <c r="N1" s="385"/>
      <c r="O1" s="385"/>
      <c r="P1" s="385"/>
      <c r="Q1" s="385"/>
      <c r="R1" s="385"/>
    </row>
    <row r="2" spans="1:20" s="47" customFormat="1" ht="60" x14ac:dyDescent="0.2">
      <c r="A2" s="6" t="s">
        <v>6</v>
      </c>
      <c r="B2" s="4" t="s">
        <v>1</v>
      </c>
      <c r="C2" s="6" t="s">
        <v>5</v>
      </c>
      <c r="D2" s="4" t="s">
        <v>281</v>
      </c>
      <c r="E2" s="4" t="s">
        <v>282</v>
      </c>
      <c r="F2" s="4" t="s">
        <v>283</v>
      </c>
      <c r="G2" s="4" t="s">
        <v>284</v>
      </c>
      <c r="H2" s="4" t="s">
        <v>81</v>
      </c>
      <c r="I2" s="4" t="s">
        <v>4</v>
      </c>
      <c r="J2" s="4" t="s">
        <v>82</v>
      </c>
      <c r="K2" s="4" t="s">
        <v>3</v>
      </c>
      <c r="L2" s="4" t="s">
        <v>83</v>
      </c>
      <c r="M2" s="4" t="s">
        <v>2</v>
      </c>
      <c r="N2" s="4" t="s">
        <v>274</v>
      </c>
      <c r="O2" s="4" t="s">
        <v>285</v>
      </c>
      <c r="P2" s="4" t="s">
        <v>286</v>
      </c>
      <c r="Q2" s="4" t="s">
        <v>86</v>
      </c>
      <c r="R2" s="4" t="s">
        <v>29</v>
      </c>
    </row>
    <row r="3" spans="1:20" s="65" customFormat="1" ht="36" x14ac:dyDescent="0.2">
      <c r="A3" s="370">
        <v>2025</v>
      </c>
      <c r="B3" s="370" t="s">
        <v>24</v>
      </c>
      <c r="C3" s="370">
        <v>1</v>
      </c>
      <c r="D3" s="370" t="s">
        <v>287</v>
      </c>
      <c r="E3" s="370" t="s">
        <v>288</v>
      </c>
      <c r="F3" s="386">
        <v>45642</v>
      </c>
      <c r="G3" s="75">
        <v>16786435</v>
      </c>
      <c r="H3" s="80" t="s">
        <v>289</v>
      </c>
      <c r="I3" s="74" t="s">
        <v>21</v>
      </c>
      <c r="J3" s="74" t="s">
        <v>11</v>
      </c>
      <c r="K3" s="74" t="s">
        <v>8</v>
      </c>
      <c r="L3" s="75" t="s">
        <v>290</v>
      </c>
      <c r="M3" s="84" t="s">
        <v>27</v>
      </c>
      <c r="N3" s="75" t="s">
        <v>291</v>
      </c>
      <c r="O3" s="387" t="s">
        <v>300</v>
      </c>
      <c r="P3" s="86">
        <v>12.7</v>
      </c>
      <c r="Q3" s="388" t="s">
        <v>292</v>
      </c>
      <c r="R3" s="389" t="s">
        <v>293</v>
      </c>
      <c r="T3" s="66"/>
    </row>
    <row r="4" spans="1:20" ht="36" x14ac:dyDescent="0.2">
      <c r="A4" s="370"/>
      <c r="B4" s="370"/>
      <c r="C4" s="370"/>
      <c r="D4" s="370"/>
      <c r="E4" s="370"/>
      <c r="F4" s="370"/>
      <c r="G4" s="75">
        <v>41948277</v>
      </c>
      <c r="H4" s="80" t="s">
        <v>294</v>
      </c>
      <c r="I4" s="74" t="s">
        <v>21</v>
      </c>
      <c r="J4" s="74" t="s">
        <v>11</v>
      </c>
      <c r="K4" s="74" t="s">
        <v>8</v>
      </c>
      <c r="L4" s="75" t="s">
        <v>290</v>
      </c>
      <c r="M4" s="84" t="s">
        <v>27</v>
      </c>
      <c r="N4" s="75" t="s">
        <v>291</v>
      </c>
      <c r="O4" s="387"/>
      <c r="P4" s="86">
        <v>12.7</v>
      </c>
      <c r="Q4" s="388"/>
      <c r="R4" s="389"/>
    </row>
    <row r="5" spans="1:20" ht="36" x14ac:dyDescent="0.2">
      <c r="A5" s="370"/>
      <c r="B5" s="370"/>
      <c r="C5" s="370"/>
      <c r="D5" s="370"/>
      <c r="E5" s="370"/>
      <c r="F5" s="370"/>
      <c r="G5" s="75">
        <v>41948811</v>
      </c>
      <c r="H5" s="80" t="s">
        <v>295</v>
      </c>
      <c r="I5" s="74" t="s">
        <v>21</v>
      </c>
      <c r="J5" s="74" t="s">
        <v>11</v>
      </c>
      <c r="K5" s="74" t="s">
        <v>8</v>
      </c>
      <c r="L5" s="75" t="s">
        <v>290</v>
      </c>
      <c r="M5" s="84" t="s">
        <v>27</v>
      </c>
      <c r="N5" s="75" t="s">
        <v>291</v>
      </c>
      <c r="O5" s="387"/>
      <c r="P5" s="86">
        <v>12.7</v>
      </c>
      <c r="Q5" s="388"/>
      <c r="R5" s="389"/>
    </row>
    <row r="6" spans="1:20" ht="12" x14ac:dyDescent="0.2"/>
    <row r="7" spans="1:20" ht="15" x14ac:dyDescent="0.25">
      <c r="K7" s="68"/>
      <c r="L7" s="68"/>
      <c r="M7" s="382" t="s">
        <v>296</v>
      </c>
      <c r="N7" s="382"/>
      <c r="O7" s="382"/>
      <c r="P7" s="59">
        <f>SUM(P3:P6)</f>
        <v>38.099999999999994</v>
      </c>
      <c r="Q7" s="68"/>
      <c r="R7" s="68"/>
    </row>
    <row r="8" spans="1:20" ht="15" x14ac:dyDescent="0.25">
      <c r="E8" s="60"/>
      <c r="F8" s="60"/>
      <c r="G8" s="3"/>
      <c r="H8" s="69"/>
      <c r="I8" s="69"/>
      <c r="J8" s="69"/>
      <c r="K8" s="60"/>
      <c r="L8" s="70"/>
      <c r="M8" s="60"/>
      <c r="N8" s="60"/>
      <c r="O8" s="71"/>
      <c r="P8" s="60"/>
      <c r="Q8" s="60"/>
      <c r="R8" s="72"/>
    </row>
    <row r="9" spans="1:20" ht="15" x14ac:dyDescent="0.25">
      <c r="E9" s="60"/>
      <c r="F9" s="60"/>
      <c r="G9" s="3"/>
      <c r="H9" s="69"/>
      <c r="I9" s="69"/>
      <c r="J9" s="69"/>
      <c r="K9" s="60"/>
      <c r="L9" s="70"/>
      <c r="M9" s="60"/>
      <c r="N9" s="60"/>
      <c r="O9" s="71"/>
      <c r="P9" s="60"/>
      <c r="Q9" s="60"/>
      <c r="R9" s="72"/>
    </row>
    <row r="10" spans="1:20" ht="15" x14ac:dyDescent="0.25">
      <c r="E10" s="383" t="s">
        <v>297</v>
      </c>
      <c r="F10" s="383"/>
      <c r="G10" s="383"/>
      <c r="H10" s="383"/>
      <c r="I10" s="72"/>
      <c r="J10" s="72"/>
      <c r="K10" s="72"/>
      <c r="L10" s="72"/>
      <c r="M10" s="384" t="s">
        <v>13</v>
      </c>
      <c r="N10" s="384"/>
      <c r="O10" s="384"/>
      <c r="P10" s="72"/>
      <c r="Q10" s="72"/>
      <c r="R10" s="72"/>
    </row>
    <row r="11" spans="1:20" ht="15" x14ac:dyDescent="0.25">
      <c r="E11" s="372" t="s">
        <v>14</v>
      </c>
      <c r="F11" s="372"/>
      <c r="G11" s="372"/>
      <c r="H11" s="372"/>
      <c r="I11" s="23"/>
      <c r="J11" s="23"/>
      <c r="K11" s="23"/>
      <c r="L11" s="23"/>
      <c r="M11" s="381" t="s">
        <v>18</v>
      </c>
      <c r="N11" s="381"/>
      <c r="O11" s="381"/>
      <c r="P11" s="7"/>
      <c r="Q11" s="5"/>
      <c r="R11" s="3"/>
    </row>
    <row r="12" spans="1:20" ht="15" x14ac:dyDescent="0.25">
      <c r="E12" s="369" t="s">
        <v>62</v>
      </c>
      <c r="F12" s="369"/>
      <c r="G12" s="369"/>
      <c r="H12" s="369"/>
      <c r="I12" s="24"/>
      <c r="J12" s="24"/>
      <c r="K12" s="24"/>
      <c r="L12" s="24"/>
      <c r="M12" s="24"/>
      <c r="N12" s="25" t="s">
        <v>20</v>
      </c>
      <c r="O12" s="25"/>
      <c r="P12" s="10"/>
      <c r="Q12" s="5"/>
      <c r="R12" s="3"/>
    </row>
    <row r="13" spans="1:20" ht="15" x14ac:dyDescent="0.25">
      <c r="E13" s="369" t="s">
        <v>15</v>
      </c>
      <c r="F13" s="369"/>
      <c r="G13" s="369"/>
      <c r="H13" s="369"/>
      <c r="I13" s="24"/>
      <c r="J13" s="24"/>
      <c r="K13" s="24"/>
      <c r="L13" s="24"/>
      <c r="M13" s="2"/>
      <c r="N13" s="26" t="s">
        <v>16</v>
      </c>
      <c r="O13" s="26"/>
      <c r="P13" s="10"/>
      <c r="Q13" s="2"/>
      <c r="R13" s="3"/>
    </row>
    <row r="14" spans="1:20" ht="15" x14ac:dyDescent="0.25">
      <c r="E14" s="3"/>
      <c r="F14" s="3"/>
      <c r="G14" s="24"/>
      <c r="H14" s="3"/>
      <c r="I14" s="3"/>
      <c r="J14" s="3"/>
      <c r="K14" s="3"/>
      <c r="L14" s="3"/>
      <c r="M14" s="3"/>
      <c r="N14" s="3"/>
      <c r="O14" s="3"/>
      <c r="P14" s="11"/>
      <c r="Q14" s="3"/>
      <c r="R14" s="3"/>
    </row>
    <row r="15" spans="1:20" ht="12" x14ac:dyDescent="0.2"/>
    <row r="16" spans="1:20" ht="12" x14ac:dyDescent="0.2"/>
    <row r="17" s="67" customFormat="1" ht="12" x14ac:dyDescent="0.2"/>
    <row r="18" s="67" customFormat="1" ht="12" x14ac:dyDescent="0.2"/>
    <row r="19" s="67" customFormat="1" ht="12" x14ac:dyDescent="0.2"/>
    <row r="20" s="67" customFormat="1" ht="12" x14ac:dyDescent="0.2"/>
    <row r="21" s="67" customFormat="1" ht="12" x14ac:dyDescent="0.2"/>
    <row r="22" s="67" customFormat="1" ht="12" x14ac:dyDescent="0.2"/>
    <row r="23" s="67" customFormat="1" ht="12" x14ac:dyDescent="0.2"/>
    <row r="24" s="67" customFormat="1" ht="12" x14ac:dyDescent="0.2"/>
    <row r="25" s="67" customFormat="1" ht="12" x14ac:dyDescent="0.2"/>
    <row r="26" s="67" customFormat="1" ht="12" x14ac:dyDescent="0.2"/>
    <row r="27" s="67" customFormat="1" ht="12" x14ac:dyDescent="0.2"/>
    <row r="28" s="67" customFormat="1" ht="12" x14ac:dyDescent="0.2"/>
    <row r="29" s="67" customFormat="1" ht="12" x14ac:dyDescent="0.2"/>
    <row r="30" s="67" customFormat="1" ht="12" x14ac:dyDescent="0.2"/>
    <row r="31" s="67" customFormat="1" ht="12" x14ac:dyDescent="0.2"/>
    <row r="32" s="67" customFormat="1" ht="12" x14ac:dyDescent="0.2"/>
    <row r="33" s="67" customFormat="1" ht="12" x14ac:dyDescent="0.2"/>
    <row r="34" s="67" customFormat="1" ht="12" x14ac:dyDescent="0.2"/>
    <row r="35" s="67" customFormat="1" ht="12" x14ac:dyDescent="0.2"/>
    <row r="36" s="67" customFormat="1" ht="12" x14ac:dyDescent="0.2"/>
    <row r="37" s="67" customFormat="1" ht="12" x14ac:dyDescent="0.2"/>
    <row r="38" s="67" customFormat="1" ht="12" x14ac:dyDescent="0.2"/>
    <row r="39" s="67" customFormat="1" ht="12" x14ac:dyDescent="0.2"/>
    <row r="40" s="67" customFormat="1" ht="12" x14ac:dyDescent="0.2"/>
    <row r="41" s="67" customFormat="1" ht="12" x14ac:dyDescent="0.2"/>
    <row r="42" s="67" customFormat="1" ht="12" x14ac:dyDescent="0.2"/>
    <row r="43" s="67" customFormat="1" ht="12" x14ac:dyDescent="0.2"/>
    <row r="44" s="67" customFormat="1" ht="12" x14ac:dyDescent="0.2"/>
    <row r="45" s="67" customFormat="1" ht="12" x14ac:dyDescent="0.2"/>
    <row r="46" s="67" customFormat="1" ht="12" x14ac:dyDescent="0.2"/>
    <row r="47" s="67" customFormat="1" ht="12" x14ac:dyDescent="0.2"/>
    <row r="48" s="67" customFormat="1" ht="12" x14ac:dyDescent="0.2"/>
    <row r="49" s="67" customFormat="1" ht="12" x14ac:dyDescent="0.2"/>
    <row r="50" s="67" customFormat="1" ht="12" x14ac:dyDescent="0.2"/>
    <row r="51" s="67" customFormat="1" ht="12" x14ac:dyDescent="0.2"/>
    <row r="52" s="67" customFormat="1" ht="12" x14ac:dyDescent="0.2"/>
    <row r="53" s="67" customFormat="1" ht="12" x14ac:dyDescent="0.2"/>
    <row r="54" s="67" customFormat="1" ht="12" x14ac:dyDescent="0.2"/>
    <row r="55" s="67" customFormat="1" ht="12" x14ac:dyDescent="0.2"/>
    <row r="56" s="67" customFormat="1" ht="12" x14ac:dyDescent="0.2"/>
    <row r="57" s="67" customFormat="1" ht="12" x14ac:dyDescent="0.2"/>
    <row r="58" s="67" customFormat="1" ht="12" x14ac:dyDescent="0.2"/>
    <row r="59" s="67" customFormat="1" ht="12" x14ac:dyDescent="0.2"/>
    <row r="60" s="67" customFormat="1" ht="12" x14ac:dyDescent="0.2"/>
    <row r="61" s="67" customFormat="1" ht="12" x14ac:dyDescent="0.2"/>
    <row r="62" s="67" customFormat="1" ht="12" x14ac:dyDescent="0.2"/>
    <row r="63" s="67" customFormat="1" ht="12" x14ac:dyDescent="0.2"/>
    <row r="64" s="67" customFormat="1" ht="12" x14ac:dyDescent="0.2"/>
    <row r="65" s="67" customFormat="1" ht="12" x14ac:dyDescent="0.2"/>
    <row r="66" s="67" customFormat="1" ht="12" x14ac:dyDescent="0.2"/>
    <row r="67" s="67" customFormat="1" ht="12" x14ac:dyDescent="0.2"/>
    <row r="68" s="67" customFormat="1" ht="12" x14ac:dyDescent="0.2"/>
    <row r="69" s="67" customFormat="1" ht="12" x14ac:dyDescent="0.2"/>
    <row r="70" s="67" customFormat="1" ht="12" x14ac:dyDescent="0.2"/>
    <row r="71" s="67" customFormat="1" ht="12" x14ac:dyDescent="0.2"/>
    <row r="72" s="67" customFormat="1" ht="12" x14ac:dyDescent="0.2"/>
    <row r="73" s="67" customFormat="1" ht="12" x14ac:dyDescent="0.2"/>
    <row r="74" s="67" customFormat="1" ht="12" x14ac:dyDescent="0.2"/>
    <row r="75" s="67" customFormat="1" ht="12" x14ac:dyDescent="0.2"/>
    <row r="76" s="67" customFormat="1" ht="12" x14ac:dyDescent="0.2"/>
    <row r="77" s="67" customFormat="1" ht="12" x14ac:dyDescent="0.2"/>
    <row r="78" s="67" customFormat="1" ht="12" x14ac:dyDescent="0.2"/>
    <row r="79" s="67" customFormat="1" ht="12" x14ac:dyDescent="0.2"/>
    <row r="80" s="67" customFormat="1" ht="12" x14ac:dyDescent="0.2"/>
    <row r="81" s="67" customFormat="1" ht="12" x14ac:dyDescent="0.2"/>
    <row r="82" s="67" customFormat="1" ht="12" x14ac:dyDescent="0.2"/>
    <row r="83" s="67" customFormat="1" ht="12" x14ac:dyDescent="0.2"/>
    <row r="84" s="67" customFormat="1" ht="12" x14ac:dyDescent="0.2"/>
    <row r="85" s="67" customFormat="1" ht="12" x14ac:dyDescent="0.2"/>
    <row r="86" s="67" customFormat="1" ht="12" x14ac:dyDescent="0.2"/>
    <row r="87" s="67" customFormat="1" ht="12" x14ac:dyDescent="0.2"/>
    <row r="88" s="67" customFormat="1" ht="12" x14ac:dyDescent="0.2"/>
    <row r="89" s="67" customFormat="1" ht="12" x14ac:dyDescent="0.2"/>
    <row r="90" s="67" customFormat="1" ht="12" x14ac:dyDescent="0.2"/>
    <row r="91" s="67" customFormat="1" ht="12" x14ac:dyDescent="0.2"/>
    <row r="92" s="67" customFormat="1" ht="12" x14ac:dyDescent="0.2"/>
    <row r="93" s="67" customFormat="1" ht="12" x14ac:dyDescent="0.2"/>
    <row r="94" s="67" customFormat="1" ht="12" x14ac:dyDescent="0.2"/>
    <row r="95" s="67" customFormat="1" ht="12" x14ac:dyDescent="0.2"/>
    <row r="96" s="67" customFormat="1" ht="12" x14ac:dyDescent="0.2"/>
    <row r="97" s="67" customFormat="1" ht="12" x14ac:dyDescent="0.2"/>
    <row r="98" s="67" customFormat="1" ht="12" x14ac:dyDescent="0.2"/>
    <row r="99" s="67" customFormat="1" ht="12" x14ac:dyDescent="0.2"/>
    <row r="100" s="67" customFormat="1" ht="12" x14ac:dyDescent="0.2"/>
    <row r="101" s="67" customFormat="1" ht="12" x14ac:dyDescent="0.2"/>
    <row r="102" s="67" customFormat="1" ht="12" x14ac:dyDescent="0.2"/>
    <row r="103" s="67" customFormat="1" ht="12" x14ac:dyDescent="0.2"/>
    <row r="104" s="67" customFormat="1" ht="12" x14ac:dyDescent="0.2"/>
    <row r="105" s="67" customFormat="1" ht="12" x14ac:dyDescent="0.2"/>
    <row r="106" s="67" customFormat="1" ht="12" x14ac:dyDescent="0.2"/>
    <row r="107" s="67" customFormat="1" ht="12" x14ac:dyDescent="0.2"/>
    <row r="108" s="67" customFormat="1" ht="12" x14ac:dyDescent="0.2"/>
    <row r="109" s="67" customFormat="1" ht="12" x14ac:dyDescent="0.2"/>
    <row r="110" s="67" customFormat="1" ht="12" x14ac:dyDescent="0.2"/>
    <row r="111" s="67" customFormat="1" ht="12" x14ac:dyDescent="0.2"/>
    <row r="112" s="67" customFormat="1" ht="12" x14ac:dyDescent="0.2"/>
    <row r="113" s="67" customFormat="1" ht="12" x14ac:dyDescent="0.2"/>
    <row r="114" s="67" customFormat="1" ht="12" x14ac:dyDescent="0.2"/>
    <row r="115" s="67" customFormat="1" ht="12" x14ac:dyDescent="0.2"/>
    <row r="116" s="67" customFormat="1" ht="12" x14ac:dyDescent="0.2"/>
    <row r="117" s="67" customFormat="1" ht="12" x14ac:dyDescent="0.2"/>
    <row r="118" s="67" customFormat="1" ht="12" x14ac:dyDescent="0.2"/>
    <row r="119" s="67" customFormat="1" ht="12" x14ac:dyDescent="0.2"/>
    <row r="120" s="67" customFormat="1" ht="12" x14ac:dyDescent="0.2"/>
    <row r="121" s="67" customFormat="1" ht="12" x14ac:dyDescent="0.2"/>
    <row r="122" s="67" customFormat="1" ht="12" x14ac:dyDescent="0.2"/>
    <row r="123" s="67" customFormat="1" ht="12" x14ac:dyDescent="0.2"/>
  </sheetData>
  <mergeCells count="17">
    <mergeCell ref="G1:R1"/>
    <mergeCell ref="A3:A5"/>
    <mergeCell ref="B3:B5"/>
    <mergeCell ref="C3:C5"/>
    <mergeCell ref="D3:D5"/>
    <mergeCell ref="E3:E5"/>
    <mergeCell ref="F3:F5"/>
    <mergeCell ref="O3:O5"/>
    <mergeCell ref="Q3:Q5"/>
    <mergeCell ref="R3:R5"/>
    <mergeCell ref="E11:H11"/>
    <mergeCell ref="M11:O11"/>
    <mergeCell ref="E12:H12"/>
    <mergeCell ref="E13:H13"/>
    <mergeCell ref="M7:O7"/>
    <mergeCell ref="E10:H10"/>
    <mergeCell ref="M10:O10"/>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1A163-52A8-438D-867C-7BF2B826BCC4}">
  <dimension ref="A1:L41"/>
  <sheetViews>
    <sheetView workbookViewId="0">
      <selection activeCell="M13" sqref="M13"/>
    </sheetView>
  </sheetViews>
  <sheetFormatPr baseColWidth="10" defaultRowHeight="12.75" x14ac:dyDescent="0.2"/>
  <cols>
    <col min="1" max="1" width="5.5703125" style="98" customWidth="1"/>
    <col min="2" max="2" width="27.5703125" style="98" bestFit="1" customWidth="1"/>
    <col min="3" max="3" width="14" style="98" bestFit="1" customWidth="1"/>
    <col min="4" max="4" width="29" style="33" customWidth="1"/>
    <col min="5" max="5" width="8.85546875" style="98" bestFit="1" customWidth="1"/>
    <col min="6" max="6" width="10.5703125" style="98" bestFit="1" customWidth="1"/>
    <col min="7" max="7" width="10" style="98" bestFit="1" customWidth="1"/>
    <col min="8" max="8" width="12.28515625" style="98" customWidth="1"/>
    <col min="9" max="9" width="11.28515625" style="98" bestFit="1" customWidth="1"/>
    <col min="10" max="10" width="8.42578125" style="98" bestFit="1" customWidth="1"/>
    <col min="11" max="11" width="14.28515625" style="98" customWidth="1"/>
    <col min="12" max="12" width="44.7109375" style="33" customWidth="1"/>
    <col min="13" max="16384" width="11.42578125" style="98"/>
  </cols>
  <sheetData>
    <row r="1" spans="1:12" ht="21.75" customHeight="1" x14ac:dyDescent="0.2">
      <c r="A1" s="390" t="s">
        <v>557</v>
      </c>
      <c r="B1" s="391"/>
      <c r="C1" s="391"/>
      <c r="D1" s="391"/>
      <c r="E1" s="391"/>
      <c r="F1" s="391"/>
      <c r="G1" s="391"/>
      <c r="H1" s="391"/>
      <c r="I1" s="391"/>
      <c r="J1" s="391"/>
      <c r="K1" s="391"/>
      <c r="L1" s="391"/>
    </row>
    <row r="2" spans="1:12" ht="21.75" customHeight="1" x14ac:dyDescent="0.2">
      <c r="A2" s="390" t="s">
        <v>580</v>
      </c>
      <c r="B2" s="391"/>
      <c r="C2" s="391"/>
      <c r="D2" s="391"/>
      <c r="E2" s="391"/>
      <c r="F2" s="391"/>
      <c r="G2" s="391"/>
      <c r="H2" s="391"/>
      <c r="I2" s="391"/>
      <c r="J2" s="391"/>
      <c r="K2" s="391"/>
      <c r="L2" s="391"/>
    </row>
    <row r="3" spans="1:12" ht="38.25" x14ac:dyDescent="0.2">
      <c r="A3" s="157" t="s">
        <v>5</v>
      </c>
      <c r="B3" s="158" t="s">
        <v>30</v>
      </c>
      <c r="C3" s="158" t="s">
        <v>311</v>
      </c>
      <c r="D3" s="158" t="s">
        <v>312</v>
      </c>
      <c r="E3" s="158" t="s">
        <v>313</v>
      </c>
      <c r="F3" s="158" t="s">
        <v>314</v>
      </c>
      <c r="G3" s="158" t="s">
        <v>82</v>
      </c>
      <c r="H3" s="159" t="s">
        <v>315</v>
      </c>
      <c r="I3" s="160" t="s">
        <v>316</v>
      </c>
      <c r="J3" s="160" t="s">
        <v>581</v>
      </c>
      <c r="K3" s="161" t="s">
        <v>318</v>
      </c>
      <c r="L3" s="158" t="s">
        <v>28</v>
      </c>
    </row>
    <row r="4" spans="1:12" ht="38.25" x14ac:dyDescent="0.2">
      <c r="A4" s="96">
        <v>1</v>
      </c>
      <c r="B4" s="117" t="s">
        <v>203</v>
      </c>
      <c r="C4" s="96">
        <v>29332068</v>
      </c>
      <c r="D4" s="117" t="s">
        <v>330</v>
      </c>
      <c r="E4" s="116">
        <v>40203</v>
      </c>
      <c r="F4" s="96" t="s">
        <v>21</v>
      </c>
      <c r="G4" s="96" t="s">
        <v>11</v>
      </c>
      <c r="H4" s="96">
        <v>4.99</v>
      </c>
      <c r="I4" s="96" t="s">
        <v>323</v>
      </c>
      <c r="J4" s="168">
        <v>1.3</v>
      </c>
      <c r="K4" s="97" t="s">
        <v>331</v>
      </c>
      <c r="L4" s="117" t="s">
        <v>582</v>
      </c>
    </row>
    <row r="5" spans="1:12" ht="25.5" x14ac:dyDescent="0.2">
      <c r="A5" s="96">
        <v>2</v>
      </c>
      <c r="B5" s="117" t="s">
        <v>70</v>
      </c>
      <c r="C5" s="96">
        <v>24675452</v>
      </c>
      <c r="D5" s="117" t="s">
        <v>342</v>
      </c>
      <c r="E5" s="99">
        <v>42955</v>
      </c>
      <c r="F5" s="96" t="s">
        <v>17</v>
      </c>
      <c r="G5" s="96" t="s">
        <v>22</v>
      </c>
      <c r="H5" s="125">
        <v>5</v>
      </c>
      <c r="I5" s="96" t="s">
        <v>323</v>
      </c>
      <c r="J5" s="87">
        <v>9</v>
      </c>
      <c r="K5" s="97" t="s">
        <v>331</v>
      </c>
      <c r="L5" s="117" t="s">
        <v>343</v>
      </c>
    </row>
    <row r="6" spans="1:12" ht="25.5" x14ac:dyDescent="0.2">
      <c r="A6" s="96">
        <v>3</v>
      </c>
      <c r="B6" s="113" t="s">
        <v>64</v>
      </c>
      <c r="C6" s="96">
        <v>328307</v>
      </c>
      <c r="D6" s="117" t="s">
        <v>378</v>
      </c>
      <c r="E6" s="116">
        <v>35828</v>
      </c>
      <c r="F6" s="96" t="s">
        <v>17</v>
      </c>
      <c r="G6" s="127" t="s">
        <v>22</v>
      </c>
      <c r="H6" s="147">
        <v>4.75</v>
      </c>
      <c r="I6" s="97" t="s">
        <v>323</v>
      </c>
      <c r="J6" s="168">
        <v>6</v>
      </c>
      <c r="K6" s="97" t="s">
        <v>549</v>
      </c>
      <c r="L6" s="117" t="s">
        <v>379</v>
      </c>
    </row>
    <row r="7" spans="1:12" ht="25.5" x14ac:dyDescent="0.2">
      <c r="A7" s="96">
        <v>4</v>
      </c>
      <c r="B7" s="113" t="s">
        <v>112</v>
      </c>
      <c r="C7" s="96">
        <v>36310363</v>
      </c>
      <c r="D7" s="117" t="s">
        <v>385</v>
      </c>
      <c r="E7" s="99">
        <v>42955</v>
      </c>
      <c r="F7" s="96" t="s">
        <v>17</v>
      </c>
      <c r="G7" s="96" t="s">
        <v>10</v>
      </c>
      <c r="H7" s="96">
        <v>4.7699999999999996</v>
      </c>
      <c r="I7" s="96" t="s">
        <v>335</v>
      </c>
      <c r="J7" s="168">
        <v>2</v>
      </c>
      <c r="K7" s="97" t="s">
        <v>583</v>
      </c>
      <c r="L7" s="117" t="s">
        <v>113</v>
      </c>
    </row>
    <row r="8" spans="1:12" ht="25.5" x14ac:dyDescent="0.2">
      <c r="A8" s="96">
        <v>5</v>
      </c>
      <c r="B8" s="113" t="s">
        <v>115</v>
      </c>
      <c r="C8" s="96">
        <v>70420310</v>
      </c>
      <c r="D8" s="117" t="s">
        <v>408</v>
      </c>
      <c r="E8" s="116">
        <v>40973</v>
      </c>
      <c r="F8" s="96" t="s">
        <v>21</v>
      </c>
      <c r="G8" s="96" t="s">
        <v>10</v>
      </c>
      <c r="H8" s="125">
        <v>5</v>
      </c>
      <c r="I8" s="96" t="s">
        <v>323</v>
      </c>
      <c r="J8" s="168">
        <v>2</v>
      </c>
      <c r="K8" s="97" t="s">
        <v>549</v>
      </c>
      <c r="L8" s="117" t="s">
        <v>116</v>
      </c>
    </row>
    <row r="9" spans="1:12" ht="38.25" x14ac:dyDescent="0.2">
      <c r="A9" s="96">
        <v>6</v>
      </c>
      <c r="B9" s="113" t="s">
        <v>60</v>
      </c>
      <c r="C9" s="96">
        <v>18416179</v>
      </c>
      <c r="D9" s="117" t="s">
        <v>424</v>
      </c>
      <c r="E9" s="116">
        <v>39199</v>
      </c>
      <c r="F9" s="96" t="s">
        <v>17</v>
      </c>
      <c r="G9" s="96" t="s">
        <v>10</v>
      </c>
      <c r="H9" s="147">
        <v>5</v>
      </c>
      <c r="I9" s="97" t="s">
        <v>360</v>
      </c>
      <c r="J9" s="168">
        <v>11</v>
      </c>
      <c r="K9" s="97" t="s">
        <v>549</v>
      </c>
      <c r="L9" s="117" t="s">
        <v>122</v>
      </c>
    </row>
    <row r="10" spans="1:12" ht="25.5" x14ac:dyDescent="0.2">
      <c r="A10" s="96">
        <v>7</v>
      </c>
      <c r="B10" s="113" t="s">
        <v>60</v>
      </c>
      <c r="C10" s="96">
        <v>7503647</v>
      </c>
      <c r="D10" s="117" t="s">
        <v>425</v>
      </c>
      <c r="E10" s="116">
        <v>28185</v>
      </c>
      <c r="F10" s="96" t="s">
        <v>17</v>
      </c>
      <c r="G10" s="96" t="s">
        <v>11</v>
      </c>
      <c r="H10" s="147">
        <v>5</v>
      </c>
      <c r="I10" s="97" t="s">
        <v>323</v>
      </c>
      <c r="J10" s="168">
        <v>9</v>
      </c>
      <c r="K10" s="97" t="s">
        <v>549</v>
      </c>
      <c r="L10" s="117" t="s">
        <v>123</v>
      </c>
    </row>
    <row r="11" spans="1:12" ht="25.5" x14ac:dyDescent="0.2">
      <c r="A11" s="96">
        <v>8</v>
      </c>
      <c r="B11" s="113" t="s">
        <v>60</v>
      </c>
      <c r="C11" s="119">
        <v>30397494</v>
      </c>
      <c r="D11" s="89" t="s">
        <v>427</v>
      </c>
      <c r="E11" s="99">
        <v>42955</v>
      </c>
      <c r="F11" s="96" t="s">
        <v>17</v>
      </c>
      <c r="G11" s="96" t="s">
        <v>22</v>
      </c>
      <c r="H11" s="147">
        <v>4.9000000000000004</v>
      </c>
      <c r="I11" s="97" t="s">
        <v>323</v>
      </c>
      <c r="J11" s="168">
        <v>6</v>
      </c>
      <c r="K11" s="97" t="s">
        <v>549</v>
      </c>
      <c r="L11" s="117" t="s">
        <v>124</v>
      </c>
    </row>
    <row r="12" spans="1:12" ht="25.5" x14ac:dyDescent="0.2">
      <c r="A12" s="96">
        <v>9</v>
      </c>
      <c r="B12" s="113" t="s">
        <v>125</v>
      </c>
      <c r="C12" s="119">
        <v>9732960</v>
      </c>
      <c r="D12" s="89" t="s">
        <v>127</v>
      </c>
      <c r="E12" s="99">
        <v>41872</v>
      </c>
      <c r="F12" s="96" t="s">
        <v>21</v>
      </c>
      <c r="G12" s="96" t="s">
        <v>11</v>
      </c>
      <c r="H12" s="96">
        <v>4.6100000000000003</v>
      </c>
      <c r="I12" s="96" t="s">
        <v>323</v>
      </c>
      <c r="J12" s="168">
        <v>6</v>
      </c>
      <c r="K12" s="97" t="s">
        <v>549</v>
      </c>
      <c r="L12" s="117" t="s">
        <v>128</v>
      </c>
    </row>
    <row r="13" spans="1:12" ht="25.5" x14ac:dyDescent="0.2">
      <c r="A13" s="96">
        <v>10</v>
      </c>
      <c r="B13" s="113" t="s">
        <v>433</v>
      </c>
      <c r="C13" s="96">
        <v>9736170</v>
      </c>
      <c r="D13" s="117" t="s">
        <v>439</v>
      </c>
      <c r="E13" s="116">
        <v>40959</v>
      </c>
      <c r="F13" s="96" t="s">
        <v>21</v>
      </c>
      <c r="G13" s="96" t="s">
        <v>10</v>
      </c>
      <c r="H13" s="125">
        <v>5</v>
      </c>
      <c r="I13" s="96" t="s">
        <v>323</v>
      </c>
      <c r="J13" s="168">
        <v>9</v>
      </c>
      <c r="K13" s="97" t="s">
        <v>549</v>
      </c>
      <c r="L13" s="117" t="s">
        <v>130</v>
      </c>
    </row>
    <row r="14" spans="1:12" ht="25.5" x14ac:dyDescent="0.2">
      <c r="A14" s="96">
        <v>11</v>
      </c>
      <c r="B14" s="113" t="s">
        <v>433</v>
      </c>
      <c r="C14" s="96">
        <v>7558022</v>
      </c>
      <c r="D14" s="117" t="s">
        <v>443</v>
      </c>
      <c r="E14" s="116">
        <v>37165</v>
      </c>
      <c r="F14" s="96" t="s">
        <v>17</v>
      </c>
      <c r="G14" s="96" t="s">
        <v>10</v>
      </c>
      <c r="H14" s="147">
        <v>5</v>
      </c>
      <c r="I14" s="97" t="s">
        <v>323</v>
      </c>
      <c r="J14" s="168">
        <v>2</v>
      </c>
      <c r="K14" s="97" t="s">
        <v>549</v>
      </c>
      <c r="L14" s="117" t="s">
        <v>444</v>
      </c>
    </row>
    <row r="15" spans="1:12" ht="25.5" x14ac:dyDescent="0.2">
      <c r="A15" s="96">
        <v>12</v>
      </c>
      <c r="B15" s="113" t="s">
        <v>462</v>
      </c>
      <c r="C15" s="119">
        <v>7540648</v>
      </c>
      <c r="D15" s="117" t="s">
        <v>463</v>
      </c>
      <c r="E15" s="116">
        <v>42955</v>
      </c>
      <c r="F15" s="96" t="s">
        <v>17</v>
      </c>
      <c r="G15" s="96" t="s">
        <v>10</v>
      </c>
      <c r="H15" s="147">
        <v>4.99</v>
      </c>
      <c r="I15" s="96" t="s">
        <v>323</v>
      </c>
      <c r="J15" s="168">
        <v>2</v>
      </c>
      <c r="K15" s="97" t="s">
        <v>549</v>
      </c>
      <c r="L15" s="117" t="s">
        <v>137</v>
      </c>
    </row>
    <row r="16" spans="1:12" ht="25.5" x14ac:dyDescent="0.2">
      <c r="A16" s="96">
        <v>13</v>
      </c>
      <c r="B16" s="117" t="s">
        <v>74</v>
      </c>
      <c r="C16" s="96">
        <v>52079098</v>
      </c>
      <c r="D16" s="117" t="s">
        <v>474</v>
      </c>
      <c r="E16" s="116">
        <v>39660</v>
      </c>
      <c r="F16" s="96" t="s">
        <v>21</v>
      </c>
      <c r="G16" s="96" t="s">
        <v>11</v>
      </c>
      <c r="H16" s="97">
        <v>4.78</v>
      </c>
      <c r="I16" s="97" t="s">
        <v>323</v>
      </c>
      <c r="J16" s="87">
        <v>6</v>
      </c>
      <c r="K16" s="97" t="s">
        <v>549</v>
      </c>
      <c r="L16" s="117" t="s">
        <v>475</v>
      </c>
    </row>
    <row r="17" spans="1:12" ht="25.5" x14ac:dyDescent="0.2">
      <c r="A17" s="96">
        <v>14</v>
      </c>
      <c r="B17" s="117" t="s">
        <v>490</v>
      </c>
      <c r="C17" s="119">
        <v>89000820</v>
      </c>
      <c r="D17" s="89" t="s">
        <v>498</v>
      </c>
      <c r="E17" s="99">
        <v>41872</v>
      </c>
      <c r="F17" s="96" t="s">
        <v>17</v>
      </c>
      <c r="G17" s="96" t="s">
        <v>22</v>
      </c>
      <c r="H17" s="96">
        <v>4.91</v>
      </c>
      <c r="I17" s="96" t="s">
        <v>323</v>
      </c>
      <c r="J17" s="168">
        <v>2</v>
      </c>
      <c r="K17" s="97" t="s">
        <v>549</v>
      </c>
      <c r="L17" s="117" t="s">
        <v>146</v>
      </c>
    </row>
    <row r="18" spans="1:12" ht="51" x14ac:dyDescent="0.2">
      <c r="A18" s="96">
        <v>15</v>
      </c>
      <c r="B18" s="113" t="s">
        <v>51</v>
      </c>
      <c r="C18" s="96">
        <v>24488950</v>
      </c>
      <c r="D18" s="117" t="s">
        <v>526</v>
      </c>
      <c r="E18" s="116">
        <v>29983</v>
      </c>
      <c r="F18" s="96" t="s">
        <v>17</v>
      </c>
      <c r="G18" s="96" t="s">
        <v>11</v>
      </c>
      <c r="H18" s="125">
        <v>4.18</v>
      </c>
      <c r="I18" s="96" t="s">
        <v>323</v>
      </c>
      <c r="J18" s="96">
        <v>4.8</v>
      </c>
      <c r="K18" s="97" t="s">
        <v>549</v>
      </c>
      <c r="L18" s="117" t="s">
        <v>584</v>
      </c>
    </row>
    <row r="19" spans="1:12" ht="25.5" x14ac:dyDescent="0.2">
      <c r="A19" s="96">
        <v>16</v>
      </c>
      <c r="B19" s="113" t="s">
        <v>55</v>
      </c>
      <c r="C19" s="96">
        <v>42086140</v>
      </c>
      <c r="D19" s="117" t="s">
        <v>534</v>
      </c>
      <c r="E19" s="116">
        <v>39142</v>
      </c>
      <c r="F19" s="96" t="s">
        <v>21</v>
      </c>
      <c r="G19" s="96" t="s">
        <v>10</v>
      </c>
      <c r="H19" s="125">
        <v>4.7</v>
      </c>
      <c r="I19" s="96" t="s">
        <v>335</v>
      </c>
      <c r="J19" s="168">
        <v>6</v>
      </c>
      <c r="K19" s="97" t="s">
        <v>549</v>
      </c>
      <c r="L19" s="117" t="s">
        <v>171</v>
      </c>
    </row>
    <row r="20" spans="1:12" ht="25.5" x14ac:dyDescent="0.2">
      <c r="A20" s="96">
        <v>17</v>
      </c>
      <c r="B20" s="113" t="s">
        <v>55</v>
      </c>
      <c r="C20" s="119">
        <v>18497593</v>
      </c>
      <c r="D20" s="89" t="s">
        <v>172</v>
      </c>
      <c r="E20" s="116">
        <v>42955</v>
      </c>
      <c r="F20" s="96" t="s">
        <v>17</v>
      </c>
      <c r="G20" s="96" t="s">
        <v>10</v>
      </c>
      <c r="H20" s="125">
        <v>4.95</v>
      </c>
      <c r="I20" s="96" t="s">
        <v>323</v>
      </c>
      <c r="J20" s="168">
        <v>2</v>
      </c>
      <c r="K20" s="97" t="s">
        <v>549</v>
      </c>
      <c r="L20" s="117" t="s">
        <v>173</v>
      </c>
    </row>
    <row r="21" spans="1:12" ht="51" x14ac:dyDescent="0.2">
      <c r="A21" s="96">
        <v>18</v>
      </c>
      <c r="B21" s="113" t="s">
        <v>54</v>
      </c>
      <c r="C21" s="96">
        <v>16369647</v>
      </c>
      <c r="D21" s="117" t="s">
        <v>190</v>
      </c>
      <c r="E21" s="116">
        <v>41436</v>
      </c>
      <c r="F21" s="96" t="s">
        <v>21</v>
      </c>
      <c r="G21" s="96" t="s">
        <v>11</v>
      </c>
      <c r="H21" s="125">
        <v>4.45</v>
      </c>
      <c r="I21" s="96" t="s">
        <v>323</v>
      </c>
      <c r="J21" s="96">
        <v>4.8</v>
      </c>
      <c r="K21" s="97" t="s">
        <v>549</v>
      </c>
      <c r="L21" s="117" t="s">
        <v>585</v>
      </c>
    </row>
    <row r="22" spans="1:12" ht="25.5" x14ac:dyDescent="0.2">
      <c r="A22" s="96">
        <v>19</v>
      </c>
      <c r="B22" s="113" t="s">
        <v>54</v>
      </c>
      <c r="C22" s="96">
        <v>41934400</v>
      </c>
      <c r="D22" s="117" t="s">
        <v>544</v>
      </c>
      <c r="E22" s="116">
        <v>40947</v>
      </c>
      <c r="F22" s="96" t="s">
        <v>21</v>
      </c>
      <c r="G22" s="96" t="s">
        <v>10</v>
      </c>
      <c r="H22" s="125">
        <v>4.9800000000000004</v>
      </c>
      <c r="I22" s="96" t="s">
        <v>323</v>
      </c>
      <c r="J22" s="168">
        <v>2</v>
      </c>
      <c r="K22" s="97" t="s">
        <v>549</v>
      </c>
      <c r="L22" s="117" t="s">
        <v>193</v>
      </c>
    </row>
    <row r="23" spans="1:12" ht="25.5" x14ac:dyDescent="0.2">
      <c r="A23" s="96">
        <v>20</v>
      </c>
      <c r="B23" s="117" t="s">
        <v>197</v>
      </c>
      <c r="C23" s="119">
        <v>7556508</v>
      </c>
      <c r="D23" s="117" t="s">
        <v>548</v>
      </c>
      <c r="E23" s="116">
        <v>42955</v>
      </c>
      <c r="F23" s="96" t="s">
        <v>17</v>
      </c>
      <c r="G23" s="96" t="s">
        <v>10</v>
      </c>
      <c r="H23" s="125">
        <v>4.97</v>
      </c>
      <c r="I23" s="96" t="s">
        <v>323</v>
      </c>
      <c r="J23" s="168">
        <v>2</v>
      </c>
      <c r="K23" s="97" t="s">
        <v>549</v>
      </c>
      <c r="L23" s="117" t="s">
        <v>201</v>
      </c>
    </row>
    <row r="24" spans="1:12" ht="38.25" x14ac:dyDescent="0.2">
      <c r="A24" s="96">
        <v>21</v>
      </c>
      <c r="B24" s="113" t="s">
        <v>202</v>
      </c>
      <c r="C24" s="118">
        <v>24809412</v>
      </c>
      <c r="D24" s="117" t="s">
        <v>97</v>
      </c>
      <c r="E24" s="99">
        <v>42955</v>
      </c>
      <c r="F24" s="97" t="s">
        <v>21</v>
      </c>
      <c r="G24" s="97" t="s">
        <v>10</v>
      </c>
      <c r="H24" s="97">
        <v>4.76</v>
      </c>
      <c r="I24" s="97" t="s">
        <v>335</v>
      </c>
      <c r="J24" s="168">
        <v>0.9</v>
      </c>
      <c r="K24" s="97" t="s">
        <v>320</v>
      </c>
      <c r="L24" s="117" t="s">
        <v>586</v>
      </c>
    </row>
    <row r="25" spans="1:12" ht="38.25" x14ac:dyDescent="0.2">
      <c r="A25" s="96">
        <v>22</v>
      </c>
      <c r="B25" s="113" t="s">
        <v>64</v>
      </c>
      <c r="C25" s="119">
        <v>29327038</v>
      </c>
      <c r="D25" s="117" t="s">
        <v>370</v>
      </c>
      <c r="E25" s="99">
        <v>42955</v>
      </c>
      <c r="F25" s="96" t="s">
        <v>17</v>
      </c>
      <c r="G25" s="96" t="s">
        <v>10</v>
      </c>
      <c r="H25" s="125">
        <v>5</v>
      </c>
      <c r="I25" s="96" t="s">
        <v>335</v>
      </c>
      <c r="J25" s="87">
        <v>0.9</v>
      </c>
      <c r="K25" s="97" t="s">
        <v>320</v>
      </c>
      <c r="L25" s="117" t="s">
        <v>587</v>
      </c>
    </row>
    <row r="26" spans="1:12" ht="38.25" x14ac:dyDescent="0.2">
      <c r="A26" s="96">
        <v>23</v>
      </c>
      <c r="B26" s="117" t="s">
        <v>26</v>
      </c>
      <c r="C26" s="96">
        <v>17655304</v>
      </c>
      <c r="D26" s="117" t="s">
        <v>480</v>
      </c>
      <c r="E26" s="116">
        <v>40947</v>
      </c>
      <c r="F26" s="96" t="s">
        <v>21</v>
      </c>
      <c r="G26" s="96" t="s">
        <v>11</v>
      </c>
      <c r="H26" s="125">
        <v>5</v>
      </c>
      <c r="I26" s="96" t="s">
        <v>335</v>
      </c>
      <c r="J26" s="168">
        <v>0.9</v>
      </c>
      <c r="K26" s="97" t="s">
        <v>320</v>
      </c>
      <c r="L26" s="117" t="s">
        <v>588</v>
      </c>
    </row>
    <row r="27" spans="1:12" ht="38.25" x14ac:dyDescent="0.2">
      <c r="A27" s="96">
        <v>24</v>
      </c>
      <c r="B27" s="113" t="s">
        <v>507</v>
      </c>
      <c r="C27" s="96">
        <v>14231147</v>
      </c>
      <c r="D27" s="117" t="s">
        <v>511</v>
      </c>
      <c r="E27" s="116">
        <v>34176</v>
      </c>
      <c r="F27" s="96" t="s">
        <v>21</v>
      </c>
      <c r="G27" s="96" t="s">
        <v>11</v>
      </c>
      <c r="H27" s="96">
        <v>4.58</v>
      </c>
      <c r="I27" s="96" t="s">
        <v>323</v>
      </c>
      <c r="J27" s="168">
        <v>1.9</v>
      </c>
      <c r="K27" s="97" t="s">
        <v>320</v>
      </c>
      <c r="L27" s="117" t="s">
        <v>589</v>
      </c>
    </row>
    <row r="29" spans="1:12" x14ac:dyDescent="0.2">
      <c r="A29" s="155" t="s">
        <v>590</v>
      </c>
      <c r="B29" s="29"/>
      <c r="C29" s="175"/>
      <c r="D29" s="29"/>
      <c r="F29" s="180"/>
      <c r="G29" s="175"/>
      <c r="H29" s="175"/>
      <c r="I29" s="175"/>
      <c r="J29" s="175"/>
    </row>
    <row r="30" spans="1:12" x14ac:dyDescent="0.2">
      <c r="A30" s="155"/>
      <c r="B30" s="29"/>
      <c r="C30" s="175"/>
      <c r="D30" s="29"/>
      <c r="F30" s="180"/>
      <c r="G30" s="175"/>
      <c r="H30" s="175"/>
      <c r="I30" s="175"/>
      <c r="J30" s="175"/>
    </row>
    <row r="31" spans="1:12" x14ac:dyDescent="0.2">
      <c r="A31" s="155"/>
      <c r="B31" s="29"/>
      <c r="C31" s="175"/>
      <c r="D31" s="29"/>
      <c r="F31" s="180"/>
      <c r="G31" s="175"/>
      <c r="H31" s="175"/>
      <c r="I31" s="175"/>
      <c r="J31" s="175"/>
    </row>
    <row r="32" spans="1:12" ht="25.5" x14ac:dyDescent="0.2">
      <c r="A32" s="155"/>
      <c r="B32" s="29"/>
      <c r="C32" s="175"/>
      <c r="D32" s="177" t="s">
        <v>89</v>
      </c>
      <c r="F32" s="180"/>
      <c r="G32" s="359" t="s">
        <v>567</v>
      </c>
      <c r="H32" s="359"/>
      <c r="I32" s="359"/>
      <c r="J32" s="359"/>
    </row>
    <row r="33" spans="1:12" x14ac:dyDescent="0.2">
      <c r="A33" s="155"/>
      <c r="B33" s="33"/>
      <c r="C33" s="156"/>
      <c r="D33" s="176" t="s">
        <v>14</v>
      </c>
      <c r="E33" s="156"/>
      <c r="F33" s="34"/>
      <c r="G33" s="360" t="s">
        <v>18</v>
      </c>
      <c r="H33" s="360"/>
      <c r="I33" s="360"/>
      <c r="J33" s="360"/>
    </row>
    <row r="34" spans="1:12" x14ac:dyDescent="0.2">
      <c r="A34" s="175"/>
      <c r="B34" s="33"/>
      <c r="C34" s="34"/>
      <c r="D34" s="177" t="s">
        <v>62</v>
      </c>
      <c r="E34" s="34"/>
      <c r="F34" s="356" t="s">
        <v>20</v>
      </c>
      <c r="G34" s="356"/>
      <c r="H34" s="356"/>
      <c r="I34" s="356"/>
      <c r="J34" s="356"/>
      <c r="K34" s="356"/>
    </row>
    <row r="35" spans="1:12" x14ac:dyDescent="0.2">
      <c r="B35" s="33"/>
      <c r="C35" s="34"/>
      <c r="D35" s="177" t="s">
        <v>15</v>
      </c>
      <c r="E35" s="34"/>
      <c r="F35" s="34"/>
      <c r="G35" s="33"/>
      <c r="H35" s="356" t="s">
        <v>16</v>
      </c>
      <c r="I35" s="356"/>
      <c r="J35" s="34"/>
    </row>
    <row r="41" spans="1:12" x14ac:dyDescent="0.2">
      <c r="L41" s="98"/>
    </row>
  </sheetData>
  <mergeCells count="6">
    <mergeCell ref="H35:I35"/>
    <mergeCell ref="A1:L1"/>
    <mergeCell ref="A2:L2"/>
    <mergeCell ref="G32:J32"/>
    <mergeCell ref="G33:J33"/>
    <mergeCell ref="F34:K34"/>
  </mergeCells>
  <pageMargins left="0.70866141732283472" right="0.70866141732283472" top="0.74803149606299213" bottom="0.74803149606299213" header="0.31496062992125984" footer="0.31496062992125984"/>
  <pageSetup paperSize="258" scale="7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7172-2EAD-42DE-8FD1-0E546ACCD1EE}">
  <dimension ref="A1:L31"/>
  <sheetViews>
    <sheetView workbookViewId="0">
      <selection activeCell="B28" sqref="B28"/>
    </sheetView>
  </sheetViews>
  <sheetFormatPr baseColWidth="10" defaultRowHeight="12.75" x14ac:dyDescent="0.2"/>
  <cols>
    <col min="1" max="1" width="5.42578125" style="98" customWidth="1"/>
    <col min="2" max="2" width="27.42578125" style="98" customWidth="1"/>
    <col min="3" max="3" width="16" style="98" customWidth="1"/>
    <col min="4" max="4" width="38.5703125" style="33" customWidth="1"/>
    <col min="5" max="5" width="11.5703125" style="98" customWidth="1"/>
    <col min="6" max="6" width="12.85546875" style="98" customWidth="1"/>
    <col min="7" max="7" width="10" style="98" bestFit="1" customWidth="1"/>
    <col min="8" max="8" width="14.28515625" style="98" customWidth="1"/>
    <col min="9" max="9" width="13.5703125" style="98" customWidth="1"/>
    <col min="10" max="10" width="12.85546875" style="98" customWidth="1"/>
    <col min="11" max="11" width="9.5703125" style="98" customWidth="1"/>
    <col min="12" max="12" width="17.140625" style="98" customWidth="1"/>
    <col min="13" max="16384" width="11.42578125" style="98"/>
  </cols>
  <sheetData>
    <row r="1" spans="1:12" ht="20.25" customHeight="1" x14ac:dyDescent="0.2">
      <c r="A1" s="390" t="s">
        <v>557</v>
      </c>
      <c r="B1" s="391"/>
      <c r="C1" s="391"/>
      <c r="D1" s="391"/>
      <c r="E1" s="391"/>
      <c r="F1" s="391"/>
      <c r="G1" s="391"/>
      <c r="H1" s="391"/>
      <c r="I1" s="391"/>
      <c r="J1" s="391"/>
      <c r="K1" s="391"/>
      <c r="L1" s="391"/>
    </row>
    <row r="2" spans="1:12" ht="20.25" customHeight="1" x14ac:dyDescent="0.2">
      <c r="A2" s="390" t="s">
        <v>558</v>
      </c>
      <c r="B2" s="391"/>
      <c r="C2" s="391"/>
      <c r="D2" s="391"/>
      <c r="E2" s="391"/>
      <c r="F2" s="391"/>
      <c r="G2" s="391"/>
      <c r="H2" s="391"/>
      <c r="I2" s="391"/>
      <c r="J2" s="391"/>
      <c r="K2" s="391"/>
      <c r="L2" s="391"/>
    </row>
    <row r="3" spans="1:12" ht="38.25" x14ac:dyDescent="0.2">
      <c r="A3" s="157" t="s">
        <v>5</v>
      </c>
      <c r="B3" s="158" t="s">
        <v>30</v>
      </c>
      <c r="C3" s="158" t="s">
        <v>311</v>
      </c>
      <c r="D3" s="158" t="s">
        <v>312</v>
      </c>
      <c r="E3" s="158" t="s">
        <v>313</v>
      </c>
      <c r="F3" s="158" t="s">
        <v>314</v>
      </c>
      <c r="G3" s="158" t="s">
        <v>82</v>
      </c>
      <c r="H3" s="159" t="s">
        <v>315</v>
      </c>
      <c r="I3" s="160" t="s">
        <v>316</v>
      </c>
      <c r="J3" s="160" t="s">
        <v>559</v>
      </c>
      <c r="K3" s="161" t="s">
        <v>318</v>
      </c>
      <c r="L3" s="158" t="s">
        <v>28</v>
      </c>
    </row>
    <row r="4" spans="1:12" ht="21.75" customHeight="1" x14ac:dyDescent="0.2">
      <c r="A4" s="27">
        <v>1</v>
      </c>
      <c r="B4" s="113" t="s">
        <v>57</v>
      </c>
      <c r="C4" s="114">
        <v>14702760</v>
      </c>
      <c r="D4" s="162" t="s">
        <v>176</v>
      </c>
      <c r="E4" s="126">
        <v>45107</v>
      </c>
      <c r="F4" s="114" t="s">
        <v>17</v>
      </c>
      <c r="G4" s="96" t="s">
        <v>59</v>
      </c>
      <c r="H4" s="127">
        <v>4.97</v>
      </c>
      <c r="I4" s="96" t="s">
        <v>322</v>
      </c>
      <c r="J4" s="27">
        <v>2</v>
      </c>
      <c r="K4" s="97" t="s">
        <v>320</v>
      </c>
      <c r="L4" s="117"/>
    </row>
    <row r="5" spans="1:12" ht="21.75" customHeight="1" x14ac:dyDescent="0.2">
      <c r="A5" s="27">
        <v>2</v>
      </c>
      <c r="B5" s="117" t="s">
        <v>203</v>
      </c>
      <c r="C5" s="114">
        <v>41916725</v>
      </c>
      <c r="D5" s="162" t="s">
        <v>333</v>
      </c>
      <c r="E5" s="116">
        <v>44963</v>
      </c>
      <c r="F5" s="97" t="s">
        <v>17</v>
      </c>
      <c r="G5" s="96" t="s">
        <v>59</v>
      </c>
      <c r="H5" s="125">
        <v>4.95</v>
      </c>
      <c r="I5" s="96" t="s">
        <v>322</v>
      </c>
      <c r="J5" s="27">
        <v>2</v>
      </c>
      <c r="K5" s="97" t="s">
        <v>320</v>
      </c>
      <c r="L5" s="117"/>
    </row>
    <row r="6" spans="1:12" ht="21.75" customHeight="1" x14ac:dyDescent="0.2">
      <c r="A6" s="27">
        <v>3</v>
      </c>
      <c r="B6" s="113" t="s">
        <v>197</v>
      </c>
      <c r="C6" s="114">
        <v>18495531</v>
      </c>
      <c r="D6" s="162" t="s">
        <v>196</v>
      </c>
      <c r="E6" s="126">
        <v>44963</v>
      </c>
      <c r="F6" s="114" t="s">
        <v>17</v>
      </c>
      <c r="G6" s="96" t="s">
        <v>59</v>
      </c>
      <c r="H6" s="127">
        <v>4.95</v>
      </c>
      <c r="I6" s="96" t="s">
        <v>322</v>
      </c>
      <c r="J6" s="27">
        <v>2</v>
      </c>
      <c r="K6" s="97" t="s">
        <v>320</v>
      </c>
      <c r="L6" s="117"/>
    </row>
    <row r="7" spans="1:12" ht="39" customHeight="1" x14ac:dyDescent="0.2">
      <c r="A7" s="27">
        <v>4</v>
      </c>
      <c r="B7" s="117" t="s">
        <v>348</v>
      </c>
      <c r="C7" s="130">
        <v>41955076</v>
      </c>
      <c r="D7" s="162" t="s">
        <v>350</v>
      </c>
      <c r="E7" s="126">
        <v>45078</v>
      </c>
      <c r="F7" s="114" t="s">
        <v>17</v>
      </c>
      <c r="G7" s="96" t="s">
        <v>59</v>
      </c>
      <c r="H7" s="127">
        <v>4.9400000000000004</v>
      </c>
      <c r="I7" s="96" t="s">
        <v>326</v>
      </c>
      <c r="J7" s="27">
        <v>2</v>
      </c>
      <c r="K7" s="97" t="s">
        <v>320</v>
      </c>
      <c r="L7" s="117"/>
    </row>
    <row r="8" spans="1:12" ht="21.75" customHeight="1" x14ac:dyDescent="0.2">
      <c r="A8" s="27">
        <v>5</v>
      </c>
      <c r="B8" s="113" t="s">
        <v>57</v>
      </c>
      <c r="C8" s="114">
        <v>29505841</v>
      </c>
      <c r="D8" s="162" t="s">
        <v>177</v>
      </c>
      <c r="E8" s="126">
        <v>44963</v>
      </c>
      <c r="F8" s="114" t="s">
        <v>17</v>
      </c>
      <c r="G8" s="96" t="s">
        <v>59</v>
      </c>
      <c r="H8" s="96">
        <v>4.92</v>
      </c>
      <c r="I8" s="96" t="s">
        <v>322</v>
      </c>
      <c r="J8" s="27">
        <v>2</v>
      </c>
      <c r="K8" s="97" t="s">
        <v>320</v>
      </c>
      <c r="L8" s="117"/>
    </row>
    <row r="9" spans="1:12" ht="21.75" customHeight="1" x14ac:dyDescent="0.2">
      <c r="A9" s="27">
        <v>6</v>
      </c>
      <c r="B9" s="113" t="s">
        <v>519</v>
      </c>
      <c r="C9" s="96">
        <v>18593326</v>
      </c>
      <c r="D9" s="117" t="s">
        <v>162</v>
      </c>
      <c r="E9" s="116">
        <v>40392</v>
      </c>
      <c r="F9" s="96" t="s">
        <v>110</v>
      </c>
      <c r="G9" s="96" t="s">
        <v>59</v>
      </c>
      <c r="H9" s="125">
        <v>4.9000000000000004</v>
      </c>
      <c r="I9" s="96" t="s">
        <v>335</v>
      </c>
      <c r="J9" s="27">
        <v>2</v>
      </c>
      <c r="K9" s="97" t="s">
        <v>320</v>
      </c>
      <c r="L9" s="117"/>
    </row>
    <row r="10" spans="1:12" ht="21.75" customHeight="1" x14ac:dyDescent="0.2">
      <c r="A10" s="27">
        <v>7</v>
      </c>
      <c r="B10" s="113" t="s">
        <v>57</v>
      </c>
      <c r="C10" s="114">
        <v>9726715</v>
      </c>
      <c r="D10" s="162" t="s">
        <v>178</v>
      </c>
      <c r="E10" s="126">
        <v>44963</v>
      </c>
      <c r="F10" s="114" t="s">
        <v>17</v>
      </c>
      <c r="G10" s="96" t="s">
        <v>59</v>
      </c>
      <c r="H10" s="125">
        <v>4.9000000000000004</v>
      </c>
      <c r="I10" s="96" t="s">
        <v>322</v>
      </c>
      <c r="J10" s="27">
        <v>2</v>
      </c>
      <c r="K10" s="97" t="s">
        <v>320</v>
      </c>
      <c r="L10" s="117"/>
    </row>
    <row r="11" spans="1:12" ht="21.75" customHeight="1" x14ac:dyDescent="0.2">
      <c r="A11" s="27">
        <v>8</v>
      </c>
      <c r="B11" s="113" t="s">
        <v>101</v>
      </c>
      <c r="C11" s="96">
        <v>41914131</v>
      </c>
      <c r="D11" s="117" t="s">
        <v>336</v>
      </c>
      <c r="E11" s="116">
        <v>41872</v>
      </c>
      <c r="F11" s="96" t="s">
        <v>17</v>
      </c>
      <c r="G11" s="96" t="s">
        <v>59</v>
      </c>
      <c r="H11" s="96">
        <v>4.8899999999999997</v>
      </c>
      <c r="I11" s="96" t="s">
        <v>335</v>
      </c>
      <c r="J11" s="27">
        <v>2</v>
      </c>
      <c r="K11" s="97" t="s">
        <v>320</v>
      </c>
      <c r="L11" s="117"/>
    </row>
    <row r="12" spans="1:12" ht="21.75" customHeight="1" x14ac:dyDescent="0.2">
      <c r="A12" s="27">
        <v>9</v>
      </c>
      <c r="B12" s="113" t="s">
        <v>202</v>
      </c>
      <c r="C12" s="114">
        <v>1094947500</v>
      </c>
      <c r="D12" s="162" t="s">
        <v>329</v>
      </c>
      <c r="E12" s="116">
        <v>44963</v>
      </c>
      <c r="F12" s="97" t="s">
        <v>21</v>
      </c>
      <c r="G12" s="97" t="s">
        <v>59</v>
      </c>
      <c r="H12" s="96">
        <v>4.88</v>
      </c>
      <c r="I12" s="96" t="s">
        <v>322</v>
      </c>
      <c r="J12" s="27">
        <v>2</v>
      </c>
      <c r="K12" s="97" t="s">
        <v>320</v>
      </c>
      <c r="L12" s="117"/>
    </row>
    <row r="13" spans="1:12" ht="21.75" customHeight="1" x14ac:dyDescent="0.2">
      <c r="A13" s="27">
        <v>10</v>
      </c>
      <c r="B13" s="113" t="s">
        <v>58</v>
      </c>
      <c r="C13" s="119">
        <v>30399579</v>
      </c>
      <c r="D13" s="117" t="s">
        <v>388</v>
      </c>
      <c r="E13" s="99">
        <v>42955</v>
      </c>
      <c r="F13" s="96" t="s">
        <v>17</v>
      </c>
      <c r="G13" s="96" t="s">
        <v>59</v>
      </c>
      <c r="H13" s="127">
        <v>4.8600000000000003</v>
      </c>
      <c r="I13" s="96" t="s">
        <v>323</v>
      </c>
      <c r="J13" s="27">
        <v>2</v>
      </c>
      <c r="K13" s="97" t="s">
        <v>320</v>
      </c>
      <c r="L13" s="117"/>
    </row>
    <row r="14" spans="1:12" ht="21.75" customHeight="1" x14ac:dyDescent="0.2">
      <c r="A14" s="27">
        <v>11</v>
      </c>
      <c r="B14" s="113" t="s">
        <v>60</v>
      </c>
      <c r="C14" s="114">
        <v>89008169</v>
      </c>
      <c r="D14" s="162" t="s">
        <v>119</v>
      </c>
      <c r="E14" s="126">
        <v>44963</v>
      </c>
      <c r="F14" s="114" t="s">
        <v>17</v>
      </c>
      <c r="G14" s="96" t="s">
        <v>59</v>
      </c>
      <c r="H14" s="127">
        <v>4.84</v>
      </c>
      <c r="I14" s="96" t="s">
        <v>322</v>
      </c>
      <c r="J14" s="27">
        <v>2</v>
      </c>
      <c r="K14" s="97" t="s">
        <v>320</v>
      </c>
      <c r="L14" s="117"/>
    </row>
    <row r="15" spans="1:12" ht="31.5" customHeight="1" x14ac:dyDescent="0.2">
      <c r="A15" s="27">
        <v>12</v>
      </c>
      <c r="B15" s="117" t="s">
        <v>490</v>
      </c>
      <c r="C15" s="96">
        <v>7561489</v>
      </c>
      <c r="D15" s="117" t="s">
        <v>491</v>
      </c>
      <c r="E15" s="116">
        <v>39664</v>
      </c>
      <c r="F15" s="96" t="s">
        <v>17</v>
      </c>
      <c r="G15" s="96" t="s">
        <v>59</v>
      </c>
      <c r="H15" s="147">
        <v>4.83</v>
      </c>
      <c r="I15" s="96" t="s">
        <v>335</v>
      </c>
      <c r="J15" s="27">
        <v>2</v>
      </c>
      <c r="K15" s="97" t="s">
        <v>320</v>
      </c>
      <c r="L15" s="117"/>
    </row>
    <row r="16" spans="1:12" ht="29.25" customHeight="1" x14ac:dyDescent="0.2">
      <c r="A16" s="27">
        <v>13</v>
      </c>
      <c r="B16" s="117" t="s">
        <v>490</v>
      </c>
      <c r="C16" s="119">
        <v>1094909209</v>
      </c>
      <c r="D16" s="89" t="s">
        <v>144</v>
      </c>
      <c r="E16" s="116">
        <v>41673</v>
      </c>
      <c r="F16" s="96" t="s">
        <v>17</v>
      </c>
      <c r="G16" s="96" t="s">
        <v>59</v>
      </c>
      <c r="H16" s="147">
        <v>4.8099999999999996</v>
      </c>
      <c r="I16" s="96" t="s">
        <v>323</v>
      </c>
      <c r="J16" s="27">
        <v>2</v>
      </c>
      <c r="K16" s="97" t="s">
        <v>320</v>
      </c>
      <c r="L16" s="117"/>
    </row>
    <row r="17" spans="1:12" ht="21.75" customHeight="1" x14ac:dyDescent="0.2">
      <c r="A17" s="27">
        <v>14</v>
      </c>
      <c r="B17" s="113" t="s">
        <v>519</v>
      </c>
      <c r="C17" s="96">
        <v>7547521</v>
      </c>
      <c r="D17" s="117" t="s">
        <v>524</v>
      </c>
      <c r="E17" s="116">
        <v>33835</v>
      </c>
      <c r="F17" s="96" t="s">
        <v>110</v>
      </c>
      <c r="G17" s="96" t="s">
        <v>59</v>
      </c>
      <c r="H17" s="96">
        <v>4.75</v>
      </c>
      <c r="I17" s="96" t="s">
        <v>322</v>
      </c>
      <c r="J17" s="27">
        <v>2</v>
      </c>
      <c r="K17" s="97" t="s">
        <v>320</v>
      </c>
      <c r="L17" s="117"/>
    </row>
    <row r="18" spans="1:12" ht="29.25" customHeight="1" x14ac:dyDescent="0.2">
      <c r="A18" s="27">
        <v>15</v>
      </c>
      <c r="B18" s="117" t="s">
        <v>490</v>
      </c>
      <c r="C18" s="96">
        <v>52105400</v>
      </c>
      <c r="D18" s="117" t="s">
        <v>493</v>
      </c>
      <c r="E18" s="116">
        <v>40947</v>
      </c>
      <c r="F18" s="96" t="s">
        <v>17</v>
      </c>
      <c r="G18" s="96" t="s">
        <v>59</v>
      </c>
      <c r="H18" s="147">
        <v>4.74</v>
      </c>
      <c r="I18" s="96" t="s">
        <v>323</v>
      </c>
      <c r="J18" s="27">
        <v>2</v>
      </c>
      <c r="K18" s="97" t="s">
        <v>320</v>
      </c>
      <c r="L18" s="117"/>
    </row>
    <row r="19" spans="1:12" ht="25.5" customHeight="1" x14ac:dyDescent="0.2">
      <c r="A19" s="27">
        <v>16</v>
      </c>
      <c r="B19" s="113" t="s">
        <v>51</v>
      </c>
      <c r="C19" s="114">
        <v>89000816</v>
      </c>
      <c r="D19" s="162" t="s">
        <v>531</v>
      </c>
      <c r="E19" s="126">
        <v>44963</v>
      </c>
      <c r="F19" s="114" t="s">
        <v>17</v>
      </c>
      <c r="G19" s="96" t="s">
        <v>59</v>
      </c>
      <c r="H19" s="96">
        <v>4.74</v>
      </c>
      <c r="I19" s="96" t="s">
        <v>322</v>
      </c>
      <c r="J19" s="27">
        <v>2</v>
      </c>
      <c r="K19" s="97" t="s">
        <v>320</v>
      </c>
      <c r="L19" s="117"/>
    </row>
    <row r="20" spans="1:12" ht="21.75" customHeight="1" x14ac:dyDescent="0.2">
      <c r="A20" s="27">
        <v>17</v>
      </c>
      <c r="B20" s="113" t="s">
        <v>114</v>
      </c>
      <c r="C20" s="114">
        <v>18467629</v>
      </c>
      <c r="D20" s="162" t="s">
        <v>398</v>
      </c>
      <c r="E20" s="126">
        <v>44963</v>
      </c>
      <c r="F20" s="114" t="s">
        <v>21</v>
      </c>
      <c r="G20" s="96" t="s">
        <v>59</v>
      </c>
      <c r="H20" s="96">
        <v>4.72</v>
      </c>
      <c r="I20" s="96" t="s">
        <v>322</v>
      </c>
      <c r="J20" s="27">
        <v>2</v>
      </c>
      <c r="K20" s="97" t="s">
        <v>320</v>
      </c>
      <c r="L20" s="117"/>
    </row>
    <row r="21" spans="1:12" ht="21.75" customHeight="1" x14ac:dyDescent="0.2">
      <c r="A21" s="27">
        <v>18</v>
      </c>
      <c r="B21" s="113" t="s">
        <v>189</v>
      </c>
      <c r="C21" s="114">
        <v>41957767</v>
      </c>
      <c r="D21" s="162" t="s">
        <v>542</v>
      </c>
      <c r="E21" s="126">
        <v>44963</v>
      </c>
      <c r="F21" s="114" t="s">
        <v>17</v>
      </c>
      <c r="G21" s="96" t="s">
        <v>59</v>
      </c>
      <c r="H21" s="127">
        <v>4.72</v>
      </c>
      <c r="I21" s="96" t="s">
        <v>322</v>
      </c>
      <c r="J21" s="27">
        <v>2</v>
      </c>
      <c r="K21" s="97" t="s">
        <v>320</v>
      </c>
      <c r="L21" s="113"/>
    </row>
    <row r="22" spans="1:12" ht="21.75" customHeight="1" x14ac:dyDescent="0.2">
      <c r="A22" s="27">
        <v>19</v>
      </c>
      <c r="B22" s="113" t="s">
        <v>60</v>
      </c>
      <c r="C22" s="96">
        <v>34554225</v>
      </c>
      <c r="D22" s="117" t="s">
        <v>420</v>
      </c>
      <c r="E22" s="116">
        <v>38376</v>
      </c>
      <c r="F22" s="96" t="s">
        <v>17</v>
      </c>
      <c r="G22" s="96" t="s">
        <v>59</v>
      </c>
      <c r="H22" s="96">
        <v>4.68</v>
      </c>
      <c r="I22" s="96" t="s">
        <v>323</v>
      </c>
      <c r="J22" s="27">
        <v>2</v>
      </c>
      <c r="K22" s="97" t="s">
        <v>320</v>
      </c>
      <c r="L22" s="117"/>
    </row>
    <row r="23" spans="1:12" x14ac:dyDescent="0.2">
      <c r="A23" s="392" t="s">
        <v>560</v>
      </c>
      <c r="B23" s="393"/>
      <c r="C23" s="393"/>
      <c r="D23" s="393"/>
      <c r="E23" s="393"/>
      <c r="F23" s="393"/>
      <c r="G23" s="393"/>
      <c r="H23" s="393"/>
      <c r="I23" s="393"/>
      <c r="J23" s="393"/>
      <c r="K23" s="393"/>
      <c r="L23" s="394"/>
    </row>
    <row r="25" spans="1:12" x14ac:dyDescent="0.2">
      <c r="A25" s="155" t="s">
        <v>561</v>
      </c>
      <c r="B25" s="29"/>
      <c r="C25" s="91"/>
      <c r="D25" s="29"/>
      <c r="F25" s="30"/>
      <c r="G25" s="91"/>
      <c r="H25" s="91"/>
      <c r="I25" s="91"/>
      <c r="J25" s="91"/>
      <c r="K25" s="90"/>
      <c r="L25" s="29"/>
    </row>
    <row r="26" spans="1:12" x14ac:dyDescent="0.2">
      <c r="A26" s="155"/>
      <c r="B26" s="29"/>
      <c r="C26" s="91"/>
      <c r="D26" s="29"/>
      <c r="F26" s="30"/>
      <c r="G26" s="91"/>
      <c r="H26" s="91"/>
      <c r="I26" s="91"/>
      <c r="J26" s="91"/>
      <c r="K26" s="90"/>
      <c r="L26" s="29"/>
    </row>
    <row r="27" spans="1:12" x14ac:dyDescent="0.2">
      <c r="A27" s="155"/>
      <c r="B27" s="29"/>
      <c r="C27" s="91"/>
      <c r="D27" s="29"/>
      <c r="F27" s="30"/>
      <c r="G27" s="91"/>
      <c r="H27" s="91"/>
      <c r="I27" s="91"/>
      <c r="J27" s="91"/>
      <c r="K27" s="90"/>
      <c r="L27" s="29"/>
    </row>
    <row r="28" spans="1:12" x14ac:dyDescent="0.2">
      <c r="A28" s="91"/>
      <c r="B28" s="29"/>
      <c r="C28" s="91"/>
      <c r="D28" s="177" t="s">
        <v>13</v>
      </c>
      <c r="F28" s="30"/>
      <c r="G28" s="359" t="s">
        <v>89</v>
      </c>
      <c r="H28" s="359"/>
      <c r="I28" s="359"/>
      <c r="J28" s="359"/>
      <c r="K28" s="90"/>
      <c r="L28" s="29"/>
    </row>
    <row r="29" spans="1:12" x14ac:dyDescent="0.2">
      <c r="B29" s="33"/>
      <c r="C29" s="156"/>
      <c r="D29" s="176" t="s">
        <v>14</v>
      </c>
      <c r="E29" s="156"/>
      <c r="F29" s="34"/>
      <c r="G29" s="360" t="s">
        <v>18</v>
      </c>
      <c r="H29" s="360"/>
      <c r="I29" s="360"/>
      <c r="J29" s="360"/>
    </row>
    <row r="30" spans="1:12" x14ac:dyDescent="0.2">
      <c r="B30" s="33"/>
      <c r="C30" s="34"/>
      <c r="D30" s="177" t="s">
        <v>62</v>
      </c>
      <c r="E30" s="34"/>
      <c r="F30" s="34"/>
      <c r="G30" s="356" t="s">
        <v>20</v>
      </c>
      <c r="H30" s="356"/>
      <c r="I30" s="356"/>
      <c r="J30" s="356"/>
    </row>
    <row r="31" spans="1:12" x14ac:dyDescent="0.2">
      <c r="B31" s="33"/>
      <c r="C31" s="34"/>
      <c r="D31" s="177" t="s">
        <v>15</v>
      </c>
      <c r="E31" s="34"/>
      <c r="F31" s="34"/>
      <c r="G31" s="33"/>
      <c r="H31" s="356" t="s">
        <v>16</v>
      </c>
      <c r="I31" s="356"/>
      <c r="J31" s="34"/>
    </row>
  </sheetData>
  <mergeCells count="7">
    <mergeCell ref="H31:I31"/>
    <mergeCell ref="A1:L1"/>
    <mergeCell ref="A2:L2"/>
    <mergeCell ref="A23:L23"/>
    <mergeCell ref="G28:J28"/>
    <mergeCell ref="G29:J29"/>
    <mergeCell ref="G30:J30"/>
  </mergeCells>
  <pageMargins left="0.7" right="0.7" top="0.75" bottom="0.75" header="0.3" footer="0.3"/>
  <pageSetup paperSize="258" scale="7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BD53-7211-4E8B-AE58-78E428B6E2FC}">
  <dimension ref="A1:L36"/>
  <sheetViews>
    <sheetView topLeftCell="A16" workbookViewId="0">
      <selection activeCell="D6" sqref="D6"/>
    </sheetView>
  </sheetViews>
  <sheetFormatPr baseColWidth="10" defaultRowHeight="12.75" x14ac:dyDescent="0.2"/>
  <cols>
    <col min="1" max="1" width="6.42578125" style="98" customWidth="1"/>
    <col min="2" max="2" width="29.28515625" style="98" customWidth="1"/>
    <col min="3" max="3" width="14.28515625" style="98" customWidth="1"/>
    <col min="4" max="4" width="34.42578125" style="33" customWidth="1"/>
    <col min="5" max="5" width="9.85546875" style="98" customWidth="1"/>
    <col min="6" max="6" width="12.42578125" style="98" customWidth="1"/>
    <col min="7" max="7" width="11" style="98" customWidth="1"/>
    <col min="8" max="8" width="12.42578125" style="98" customWidth="1"/>
    <col min="9" max="9" width="12" style="98" customWidth="1"/>
    <col min="10" max="10" width="12.7109375" style="98" customWidth="1"/>
    <col min="11" max="11" width="9.140625" style="98" customWidth="1"/>
    <col min="12" max="12" width="32" style="98" customWidth="1"/>
    <col min="13" max="16384" width="11.42578125" style="98"/>
  </cols>
  <sheetData>
    <row r="1" spans="1:12" ht="16.5" customHeight="1" x14ac:dyDescent="0.2">
      <c r="A1" s="390" t="s">
        <v>557</v>
      </c>
      <c r="B1" s="391"/>
      <c r="C1" s="391"/>
      <c r="D1" s="391"/>
      <c r="E1" s="391"/>
      <c r="F1" s="391"/>
      <c r="G1" s="391"/>
      <c r="H1" s="391"/>
      <c r="I1" s="391"/>
      <c r="J1" s="391"/>
      <c r="K1" s="391"/>
      <c r="L1" s="391"/>
    </row>
    <row r="2" spans="1:12" ht="16.5" customHeight="1" x14ac:dyDescent="0.2">
      <c r="A2" s="390" t="s">
        <v>562</v>
      </c>
      <c r="B2" s="391"/>
      <c r="C2" s="391"/>
      <c r="D2" s="391"/>
      <c r="E2" s="391"/>
      <c r="F2" s="391"/>
      <c r="G2" s="391"/>
      <c r="H2" s="391"/>
      <c r="I2" s="391"/>
      <c r="J2" s="391"/>
      <c r="K2" s="391"/>
      <c r="L2" s="391"/>
    </row>
    <row r="3" spans="1:12" ht="38.25" x14ac:dyDescent="0.2">
      <c r="A3" s="157" t="s">
        <v>5</v>
      </c>
      <c r="B3" s="158" t="s">
        <v>30</v>
      </c>
      <c r="C3" s="158" t="s">
        <v>311</v>
      </c>
      <c r="D3" s="158" t="s">
        <v>312</v>
      </c>
      <c r="E3" s="158" t="s">
        <v>313</v>
      </c>
      <c r="F3" s="158" t="s">
        <v>314</v>
      </c>
      <c r="G3" s="158" t="s">
        <v>82</v>
      </c>
      <c r="H3" s="159" t="s">
        <v>315</v>
      </c>
      <c r="I3" s="160" t="s">
        <v>316</v>
      </c>
      <c r="J3" s="160" t="s">
        <v>559</v>
      </c>
      <c r="K3" s="161" t="s">
        <v>318</v>
      </c>
      <c r="L3" s="158" t="s">
        <v>28</v>
      </c>
    </row>
    <row r="4" spans="1:12" x14ac:dyDescent="0.2">
      <c r="A4" s="27">
        <v>1</v>
      </c>
      <c r="B4" s="117" t="s">
        <v>203</v>
      </c>
      <c r="C4" s="96">
        <v>29226257</v>
      </c>
      <c r="D4" s="162" t="s">
        <v>100</v>
      </c>
      <c r="E4" s="116">
        <v>44963</v>
      </c>
      <c r="F4" s="97" t="s">
        <v>17</v>
      </c>
      <c r="G4" s="114" t="s">
        <v>22</v>
      </c>
      <c r="H4" s="125">
        <v>5</v>
      </c>
      <c r="I4" s="96" t="s">
        <v>323</v>
      </c>
      <c r="J4" s="96">
        <v>3</v>
      </c>
      <c r="K4" s="97" t="s">
        <v>320</v>
      </c>
      <c r="L4" s="117"/>
    </row>
    <row r="5" spans="1:12" x14ac:dyDescent="0.2">
      <c r="A5" s="27">
        <v>2</v>
      </c>
      <c r="B5" s="113" t="s">
        <v>462</v>
      </c>
      <c r="C5" s="130">
        <v>18470142</v>
      </c>
      <c r="D5" s="162" t="s">
        <v>139</v>
      </c>
      <c r="E5" s="126">
        <v>44963</v>
      </c>
      <c r="F5" s="114" t="s">
        <v>17</v>
      </c>
      <c r="G5" s="96" t="s">
        <v>22</v>
      </c>
      <c r="H5" s="127">
        <v>4.99</v>
      </c>
      <c r="I5" s="96" t="s">
        <v>322</v>
      </c>
      <c r="J5" s="96">
        <v>3</v>
      </c>
      <c r="K5" s="97" t="s">
        <v>320</v>
      </c>
      <c r="L5" s="117"/>
    </row>
    <row r="6" spans="1:12" ht="51" x14ac:dyDescent="0.2">
      <c r="A6" s="27">
        <v>3</v>
      </c>
      <c r="B6" s="117" t="s">
        <v>490</v>
      </c>
      <c r="C6" s="114">
        <v>1102042502</v>
      </c>
      <c r="D6" s="162" t="s">
        <v>497</v>
      </c>
      <c r="E6" s="126">
        <v>44963</v>
      </c>
      <c r="F6" s="96" t="s">
        <v>21</v>
      </c>
      <c r="G6" s="96" t="s">
        <v>22</v>
      </c>
      <c r="H6" s="127">
        <v>4.99</v>
      </c>
      <c r="I6" s="96" t="s">
        <v>322</v>
      </c>
      <c r="J6" s="96">
        <v>2.7</v>
      </c>
      <c r="K6" s="97" t="s">
        <v>320</v>
      </c>
      <c r="L6" s="117" t="s">
        <v>563</v>
      </c>
    </row>
    <row r="7" spans="1:12" x14ac:dyDescent="0.2">
      <c r="A7" s="27">
        <v>4</v>
      </c>
      <c r="B7" s="113" t="s">
        <v>51</v>
      </c>
      <c r="C7" s="96">
        <v>39789083</v>
      </c>
      <c r="D7" s="117" t="s">
        <v>154</v>
      </c>
      <c r="E7" s="116">
        <v>40203</v>
      </c>
      <c r="F7" s="96" t="s">
        <v>110</v>
      </c>
      <c r="G7" s="96" t="s">
        <v>22</v>
      </c>
      <c r="H7" s="96">
        <v>4.9800000000000004</v>
      </c>
      <c r="I7" s="96" t="s">
        <v>327</v>
      </c>
      <c r="J7" s="96">
        <v>3</v>
      </c>
      <c r="K7" s="97" t="s">
        <v>320</v>
      </c>
      <c r="L7" s="117"/>
    </row>
    <row r="8" spans="1:12" x14ac:dyDescent="0.2">
      <c r="A8" s="27">
        <v>5</v>
      </c>
      <c r="B8" s="113" t="s">
        <v>519</v>
      </c>
      <c r="C8" s="96">
        <v>41941200</v>
      </c>
      <c r="D8" s="117" t="s">
        <v>156</v>
      </c>
      <c r="E8" s="116">
        <v>40392</v>
      </c>
      <c r="F8" s="96" t="s">
        <v>21</v>
      </c>
      <c r="G8" s="96" t="s">
        <v>22</v>
      </c>
      <c r="H8" s="96">
        <v>4.9800000000000004</v>
      </c>
      <c r="I8" s="96" t="s">
        <v>338</v>
      </c>
      <c r="J8" s="96">
        <v>3</v>
      </c>
      <c r="K8" s="97" t="s">
        <v>320</v>
      </c>
      <c r="L8" s="117"/>
    </row>
    <row r="9" spans="1:12" ht="25.5" x14ac:dyDescent="0.2">
      <c r="A9" s="27">
        <v>6</v>
      </c>
      <c r="B9" s="117" t="s">
        <v>490</v>
      </c>
      <c r="C9" s="119">
        <v>41937649</v>
      </c>
      <c r="D9" s="117" t="s">
        <v>145</v>
      </c>
      <c r="E9" s="99">
        <v>42955</v>
      </c>
      <c r="F9" s="96" t="s">
        <v>17</v>
      </c>
      <c r="G9" s="96" t="s">
        <v>22</v>
      </c>
      <c r="H9" s="97">
        <v>4.97</v>
      </c>
      <c r="I9" s="96" t="s">
        <v>338</v>
      </c>
      <c r="J9" s="96">
        <v>3</v>
      </c>
      <c r="K9" s="97" t="s">
        <v>320</v>
      </c>
      <c r="L9" s="117"/>
    </row>
    <row r="10" spans="1:12" x14ac:dyDescent="0.2">
      <c r="A10" s="27">
        <v>7</v>
      </c>
      <c r="B10" s="113" t="s">
        <v>55</v>
      </c>
      <c r="C10" s="114">
        <v>41961829</v>
      </c>
      <c r="D10" s="162" t="s">
        <v>166</v>
      </c>
      <c r="E10" s="126">
        <v>44963</v>
      </c>
      <c r="F10" s="96" t="s">
        <v>21</v>
      </c>
      <c r="G10" s="96" t="s">
        <v>22</v>
      </c>
      <c r="H10" s="127">
        <v>4.97</v>
      </c>
      <c r="I10" s="96" t="s">
        <v>322</v>
      </c>
      <c r="J10" s="96">
        <v>3</v>
      </c>
      <c r="K10" s="97" t="s">
        <v>320</v>
      </c>
      <c r="L10" s="113"/>
    </row>
    <row r="11" spans="1:12" x14ac:dyDescent="0.2">
      <c r="A11" s="27">
        <v>8</v>
      </c>
      <c r="B11" s="113" t="s">
        <v>462</v>
      </c>
      <c r="C11" s="96">
        <v>88141692</v>
      </c>
      <c r="D11" s="117" t="s">
        <v>466</v>
      </c>
      <c r="E11" s="116">
        <v>34834</v>
      </c>
      <c r="F11" s="96" t="s">
        <v>21</v>
      </c>
      <c r="G11" s="96" t="s">
        <v>22</v>
      </c>
      <c r="H11" s="127">
        <v>4.96</v>
      </c>
      <c r="I11" s="96" t="s">
        <v>323</v>
      </c>
      <c r="J11" s="96">
        <v>3</v>
      </c>
      <c r="K11" s="97" t="s">
        <v>320</v>
      </c>
      <c r="L11" s="117"/>
    </row>
    <row r="12" spans="1:12" ht="38.25" x14ac:dyDescent="0.2">
      <c r="A12" s="27">
        <v>9</v>
      </c>
      <c r="B12" s="117" t="s">
        <v>348</v>
      </c>
      <c r="C12" s="130">
        <v>1094878677</v>
      </c>
      <c r="D12" s="162" t="s">
        <v>107</v>
      </c>
      <c r="E12" s="126">
        <v>45091</v>
      </c>
      <c r="F12" s="114" t="s">
        <v>17</v>
      </c>
      <c r="G12" s="96" t="s">
        <v>22</v>
      </c>
      <c r="H12" s="127">
        <v>4.95</v>
      </c>
      <c r="I12" s="96" t="s">
        <v>326</v>
      </c>
      <c r="J12" s="96">
        <v>3</v>
      </c>
      <c r="K12" s="97" t="s">
        <v>320</v>
      </c>
      <c r="L12" s="117"/>
    </row>
    <row r="13" spans="1:12" x14ac:dyDescent="0.2">
      <c r="A13" s="27">
        <v>10</v>
      </c>
      <c r="B13" s="113" t="s">
        <v>71</v>
      </c>
      <c r="C13" s="96">
        <v>16747204</v>
      </c>
      <c r="D13" s="117" t="s">
        <v>454</v>
      </c>
      <c r="E13" s="116">
        <v>37159</v>
      </c>
      <c r="F13" s="96" t="s">
        <v>17</v>
      </c>
      <c r="G13" s="96" t="s">
        <v>22</v>
      </c>
      <c r="H13" s="127">
        <v>4.95</v>
      </c>
      <c r="I13" s="97" t="s">
        <v>323</v>
      </c>
      <c r="J13" s="96">
        <v>3</v>
      </c>
      <c r="K13" s="97" t="s">
        <v>320</v>
      </c>
      <c r="L13" s="113"/>
    </row>
    <row r="14" spans="1:12" x14ac:dyDescent="0.2">
      <c r="A14" s="27">
        <v>11</v>
      </c>
      <c r="B14" s="113" t="s">
        <v>71</v>
      </c>
      <c r="C14" s="114">
        <v>1094901176</v>
      </c>
      <c r="D14" s="162" t="s">
        <v>136</v>
      </c>
      <c r="E14" s="126">
        <v>44977</v>
      </c>
      <c r="F14" s="96" t="s">
        <v>17</v>
      </c>
      <c r="G14" s="96" t="s">
        <v>22</v>
      </c>
      <c r="H14" s="127">
        <v>4.95</v>
      </c>
      <c r="I14" s="96" t="s">
        <v>322</v>
      </c>
      <c r="J14" s="96">
        <v>3</v>
      </c>
      <c r="K14" s="97" t="s">
        <v>320</v>
      </c>
      <c r="L14" s="117"/>
    </row>
    <row r="15" spans="1:12" x14ac:dyDescent="0.2">
      <c r="A15" s="27">
        <v>12</v>
      </c>
      <c r="B15" s="113" t="s">
        <v>189</v>
      </c>
      <c r="C15" s="96">
        <v>9805077</v>
      </c>
      <c r="D15" s="117" t="s">
        <v>188</v>
      </c>
      <c r="E15" s="116">
        <v>35828</v>
      </c>
      <c r="F15" s="96" t="s">
        <v>110</v>
      </c>
      <c r="G15" s="96" t="s">
        <v>22</v>
      </c>
      <c r="H15" s="96">
        <v>4.95</v>
      </c>
      <c r="I15" s="96" t="s">
        <v>541</v>
      </c>
      <c r="J15" s="96">
        <v>3</v>
      </c>
      <c r="K15" s="97" t="s">
        <v>320</v>
      </c>
      <c r="L15" s="113"/>
    </row>
    <row r="16" spans="1:12" ht="25.5" x14ac:dyDescent="0.2">
      <c r="A16" s="27">
        <v>13</v>
      </c>
      <c r="B16" s="117" t="s">
        <v>501</v>
      </c>
      <c r="C16" s="114">
        <v>41943583</v>
      </c>
      <c r="D16" s="162" t="s">
        <v>505</v>
      </c>
      <c r="E16" s="126">
        <v>44963</v>
      </c>
      <c r="F16" s="114" t="s">
        <v>21</v>
      </c>
      <c r="G16" s="96" t="s">
        <v>22</v>
      </c>
      <c r="H16" s="96">
        <v>4.9400000000000004</v>
      </c>
      <c r="I16" s="96" t="s">
        <v>322</v>
      </c>
      <c r="J16" s="96">
        <v>3</v>
      </c>
      <c r="K16" s="97" t="s">
        <v>320</v>
      </c>
      <c r="L16" s="117"/>
    </row>
    <row r="17" spans="1:12" x14ac:dyDescent="0.2">
      <c r="A17" s="27">
        <v>14</v>
      </c>
      <c r="B17" s="113" t="s">
        <v>54</v>
      </c>
      <c r="C17" s="114">
        <v>24344593</v>
      </c>
      <c r="D17" s="162" t="s">
        <v>543</v>
      </c>
      <c r="E17" s="126">
        <v>44963</v>
      </c>
      <c r="F17" s="114" t="s">
        <v>21</v>
      </c>
      <c r="G17" s="96" t="s">
        <v>22</v>
      </c>
      <c r="H17" s="127">
        <v>4.9400000000000004</v>
      </c>
      <c r="I17" s="96" t="s">
        <v>322</v>
      </c>
      <c r="J17" s="96">
        <v>3</v>
      </c>
      <c r="K17" s="97" t="s">
        <v>320</v>
      </c>
      <c r="L17" s="117"/>
    </row>
    <row r="18" spans="1:12" x14ac:dyDescent="0.2">
      <c r="A18" s="27">
        <v>15</v>
      </c>
      <c r="B18" s="113" t="s">
        <v>433</v>
      </c>
      <c r="C18" s="114">
        <v>16512197</v>
      </c>
      <c r="D18" s="162" t="s">
        <v>446</v>
      </c>
      <c r="E18" s="126">
        <v>44963</v>
      </c>
      <c r="F18" s="114" t="s">
        <v>17</v>
      </c>
      <c r="G18" s="96" t="s">
        <v>22</v>
      </c>
      <c r="H18" s="127">
        <v>4.93</v>
      </c>
      <c r="I18" s="96" t="s">
        <v>322</v>
      </c>
      <c r="J18" s="96">
        <v>3</v>
      </c>
      <c r="K18" s="97" t="s">
        <v>320</v>
      </c>
      <c r="L18" s="113"/>
    </row>
    <row r="19" spans="1:12" x14ac:dyDescent="0.2">
      <c r="A19" s="27">
        <v>16</v>
      </c>
      <c r="B19" s="113" t="s">
        <v>71</v>
      </c>
      <c r="C19" s="114">
        <v>9730805</v>
      </c>
      <c r="D19" s="162" t="s">
        <v>450</v>
      </c>
      <c r="E19" s="126">
        <v>44963</v>
      </c>
      <c r="F19" s="114" t="s">
        <v>17</v>
      </c>
      <c r="G19" s="96" t="s">
        <v>22</v>
      </c>
      <c r="H19" s="127">
        <v>4.93</v>
      </c>
      <c r="I19" s="96" t="s">
        <v>322</v>
      </c>
      <c r="J19" s="96">
        <v>3</v>
      </c>
      <c r="K19" s="97" t="s">
        <v>320</v>
      </c>
      <c r="L19" s="117"/>
    </row>
    <row r="20" spans="1:12" ht="25.5" x14ac:dyDescent="0.2">
      <c r="A20" s="27">
        <v>17</v>
      </c>
      <c r="B20" s="117" t="s">
        <v>490</v>
      </c>
      <c r="C20" s="96">
        <v>10122357</v>
      </c>
      <c r="D20" s="117" t="s">
        <v>495</v>
      </c>
      <c r="E20" s="116">
        <v>38040</v>
      </c>
      <c r="F20" s="96" t="s">
        <v>17</v>
      </c>
      <c r="G20" s="96" t="s">
        <v>22</v>
      </c>
      <c r="H20" s="97">
        <v>4.93</v>
      </c>
      <c r="I20" s="96" t="s">
        <v>338</v>
      </c>
      <c r="J20" s="96">
        <v>3</v>
      </c>
      <c r="K20" s="97" t="s">
        <v>320</v>
      </c>
      <c r="L20" s="117"/>
    </row>
    <row r="21" spans="1:12" x14ac:dyDescent="0.2">
      <c r="A21" s="27">
        <v>18</v>
      </c>
      <c r="B21" s="113" t="s">
        <v>54</v>
      </c>
      <c r="C21" s="96">
        <v>41923129</v>
      </c>
      <c r="D21" s="117" t="s">
        <v>194</v>
      </c>
      <c r="E21" s="116">
        <v>38376</v>
      </c>
      <c r="F21" s="96" t="s">
        <v>21</v>
      </c>
      <c r="G21" s="96" t="s">
        <v>22</v>
      </c>
      <c r="H21" s="97">
        <v>4.93</v>
      </c>
      <c r="I21" s="96" t="s">
        <v>338</v>
      </c>
      <c r="J21" s="96">
        <v>3</v>
      </c>
      <c r="K21" s="97" t="s">
        <v>320</v>
      </c>
      <c r="L21" s="117"/>
    </row>
    <row r="22" spans="1:12" x14ac:dyDescent="0.2">
      <c r="A22" s="27">
        <v>19</v>
      </c>
      <c r="B22" s="117" t="s">
        <v>108</v>
      </c>
      <c r="C22" s="114">
        <v>89004182</v>
      </c>
      <c r="D22" s="162" t="s">
        <v>361</v>
      </c>
      <c r="E22" s="126">
        <v>44963</v>
      </c>
      <c r="F22" s="114" t="s">
        <v>21</v>
      </c>
      <c r="G22" s="96" t="s">
        <v>22</v>
      </c>
      <c r="H22" s="127">
        <v>4.92</v>
      </c>
      <c r="I22" s="96" t="s">
        <v>322</v>
      </c>
      <c r="J22" s="96">
        <v>3</v>
      </c>
      <c r="K22" s="97" t="s">
        <v>320</v>
      </c>
      <c r="L22" s="117"/>
    </row>
    <row r="23" spans="1:12" ht="51" x14ac:dyDescent="0.2">
      <c r="A23" s="27">
        <v>20</v>
      </c>
      <c r="B23" s="113" t="s">
        <v>58</v>
      </c>
      <c r="C23" s="114">
        <v>38794076</v>
      </c>
      <c r="D23" s="162" t="s">
        <v>389</v>
      </c>
      <c r="E23" s="126">
        <v>44967</v>
      </c>
      <c r="F23" s="114" t="s">
        <v>21</v>
      </c>
      <c r="G23" s="96" t="s">
        <v>22</v>
      </c>
      <c r="H23" s="127">
        <v>4.92</v>
      </c>
      <c r="I23" s="96" t="s">
        <v>323</v>
      </c>
      <c r="J23" s="96">
        <v>2.2000000000000002</v>
      </c>
      <c r="K23" s="97" t="s">
        <v>320</v>
      </c>
      <c r="L23" s="117" t="s">
        <v>564</v>
      </c>
    </row>
    <row r="24" spans="1:12" x14ac:dyDescent="0.2">
      <c r="A24" s="27">
        <v>21</v>
      </c>
      <c r="B24" s="113" t="s">
        <v>71</v>
      </c>
      <c r="C24" s="96">
        <v>94528666</v>
      </c>
      <c r="D24" s="117" t="s">
        <v>461</v>
      </c>
      <c r="E24" s="116">
        <v>38762</v>
      </c>
      <c r="F24" s="96" t="s">
        <v>21</v>
      </c>
      <c r="G24" s="96" t="s">
        <v>22</v>
      </c>
      <c r="H24" s="125">
        <v>4.92</v>
      </c>
      <c r="I24" s="96" t="s">
        <v>335</v>
      </c>
      <c r="J24" s="96">
        <v>3</v>
      </c>
      <c r="K24" s="97" t="s">
        <v>320</v>
      </c>
      <c r="L24" s="117"/>
    </row>
    <row r="25" spans="1:12" ht="25.5" x14ac:dyDescent="0.2">
      <c r="A25" s="27">
        <v>22</v>
      </c>
      <c r="B25" s="117" t="s">
        <v>26</v>
      </c>
      <c r="C25" s="114">
        <v>1094885534</v>
      </c>
      <c r="D25" s="162" t="s">
        <v>483</v>
      </c>
      <c r="E25" s="126">
        <v>44963</v>
      </c>
      <c r="F25" s="96" t="s">
        <v>21</v>
      </c>
      <c r="G25" s="96" t="s">
        <v>22</v>
      </c>
      <c r="H25" s="127">
        <v>4.92</v>
      </c>
      <c r="I25" s="96" t="s">
        <v>322</v>
      </c>
      <c r="J25" s="96">
        <v>3</v>
      </c>
      <c r="K25" s="97" t="s">
        <v>320</v>
      </c>
      <c r="L25" s="117"/>
    </row>
    <row r="26" spans="1:12" x14ac:dyDescent="0.2">
      <c r="A26" s="27">
        <v>23</v>
      </c>
      <c r="B26" s="113" t="s">
        <v>519</v>
      </c>
      <c r="C26" s="96">
        <v>71600566</v>
      </c>
      <c r="D26" s="117" t="s">
        <v>522</v>
      </c>
      <c r="E26" s="116">
        <v>34974</v>
      </c>
      <c r="F26" s="96" t="s">
        <v>17</v>
      </c>
      <c r="G26" s="96" t="s">
        <v>22</v>
      </c>
      <c r="H26" s="96">
        <v>4.92</v>
      </c>
      <c r="I26" s="96" t="s">
        <v>335</v>
      </c>
      <c r="J26" s="96">
        <v>3</v>
      </c>
      <c r="K26" s="97" t="s">
        <v>320</v>
      </c>
      <c r="L26" s="117"/>
    </row>
    <row r="27" spans="1:12" x14ac:dyDescent="0.2">
      <c r="A27" s="392" t="s">
        <v>565</v>
      </c>
      <c r="B27" s="393"/>
      <c r="C27" s="393"/>
      <c r="D27" s="393"/>
      <c r="E27" s="393"/>
      <c r="F27" s="393"/>
      <c r="G27" s="393"/>
      <c r="H27" s="393"/>
      <c r="I27" s="393"/>
      <c r="J27" s="393"/>
      <c r="K27" s="393"/>
      <c r="L27" s="394"/>
    </row>
    <row r="29" spans="1:12" x14ac:dyDescent="0.2">
      <c r="A29" s="155" t="s">
        <v>566</v>
      </c>
      <c r="B29" s="33"/>
      <c r="C29" s="155"/>
      <c r="D29" s="29"/>
      <c r="F29" s="180"/>
      <c r="G29" s="175"/>
      <c r="H29" s="175"/>
      <c r="I29" s="175"/>
      <c r="J29" s="175"/>
      <c r="K29" s="177"/>
      <c r="L29" s="29"/>
    </row>
    <row r="30" spans="1:12" x14ac:dyDescent="0.2">
      <c r="A30" s="175"/>
      <c r="B30" s="33"/>
      <c r="C30" s="155"/>
      <c r="D30" s="29"/>
      <c r="F30" s="180"/>
      <c r="G30" s="175"/>
      <c r="H30" s="175"/>
      <c r="I30" s="175"/>
      <c r="J30" s="175"/>
      <c r="K30" s="177"/>
      <c r="L30" s="29"/>
    </row>
    <row r="31" spans="1:12" x14ac:dyDescent="0.2">
      <c r="B31" s="33"/>
      <c r="C31" s="175"/>
      <c r="D31" s="29"/>
      <c r="F31" s="180"/>
      <c r="G31" s="175"/>
      <c r="H31" s="175"/>
      <c r="I31" s="175"/>
      <c r="J31" s="175"/>
      <c r="K31" s="177"/>
      <c r="L31" s="29"/>
    </row>
    <row r="32" spans="1:12" x14ac:dyDescent="0.2">
      <c r="B32" s="155"/>
      <c r="C32" s="175"/>
      <c r="D32" s="177" t="s">
        <v>89</v>
      </c>
      <c r="F32" s="180"/>
      <c r="G32" s="359" t="s">
        <v>567</v>
      </c>
      <c r="H32" s="359"/>
      <c r="I32" s="359"/>
      <c r="J32" s="359"/>
      <c r="K32" s="177"/>
      <c r="L32" s="29"/>
    </row>
    <row r="33" spans="3:12" x14ac:dyDescent="0.2">
      <c r="C33" s="156"/>
      <c r="D33" s="176" t="s">
        <v>14</v>
      </c>
      <c r="E33" s="156"/>
      <c r="F33" s="34"/>
      <c r="G33" s="360" t="s">
        <v>18</v>
      </c>
      <c r="H33" s="360"/>
      <c r="I33" s="360"/>
      <c r="J33" s="360"/>
    </row>
    <row r="34" spans="3:12" x14ac:dyDescent="0.2">
      <c r="C34" s="34"/>
      <c r="D34" s="177" t="s">
        <v>62</v>
      </c>
      <c r="E34" s="34"/>
      <c r="F34" s="34"/>
      <c r="G34" s="356" t="s">
        <v>20</v>
      </c>
      <c r="H34" s="356"/>
      <c r="I34" s="356"/>
      <c r="J34" s="356"/>
    </row>
    <row r="35" spans="3:12" x14ac:dyDescent="0.2">
      <c r="C35" s="34"/>
      <c r="D35" s="177" t="s">
        <v>15</v>
      </c>
      <c r="E35" s="34"/>
      <c r="F35" s="34"/>
      <c r="G35" s="33"/>
      <c r="H35" s="356" t="s">
        <v>16</v>
      </c>
      <c r="I35" s="356"/>
      <c r="J35" s="34"/>
    </row>
    <row r="36" spans="3:12" x14ac:dyDescent="0.2">
      <c r="C36" s="175"/>
      <c r="D36" s="29"/>
      <c r="F36" s="180"/>
      <c r="G36" s="175"/>
      <c r="H36" s="175"/>
      <c r="I36" s="175"/>
      <c r="J36" s="175"/>
      <c r="K36" s="177"/>
      <c r="L36" s="29"/>
    </row>
  </sheetData>
  <mergeCells count="7">
    <mergeCell ref="H35:I35"/>
    <mergeCell ref="A1:L1"/>
    <mergeCell ref="A2:L2"/>
    <mergeCell ref="A27:L27"/>
    <mergeCell ref="G32:J32"/>
    <mergeCell ref="G33:J33"/>
    <mergeCell ref="G34:J34"/>
  </mergeCells>
  <printOptions horizontalCentered="1"/>
  <pageMargins left="0.70866141732283472" right="0.70866141732283472" top="0.74803149606299213" bottom="0.74803149606299213" header="0.31496062992125984" footer="0.31496062992125984"/>
  <pageSetup paperSize="258" scale="7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316D-8DF7-4E42-BEB0-C98895952153}">
  <dimension ref="A1:L32"/>
  <sheetViews>
    <sheetView topLeftCell="A10" workbookViewId="0">
      <selection activeCell="D17" sqref="D17"/>
    </sheetView>
  </sheetViews>
  <sheetFormatPr baseColWidth="10" defaultRowHeight="12.75" x14ac:dyDescent="0.25"/>
  <cols>
    <col min="1" max="1" width="5.5703125" style="91" customWidth="1"/>
    <col min="2" max="2" width="29" style="155" customWidth="1"/>
    <col min="3" max="3" width="14.28515625" style="91" customWidth="1"/>
    <col min="4" max="4" width="30.42578125" style="29" customWidth="1"/>
    <col min="5" max="5" width="10.85546875" style="91" customWidth="1"/>
    <col min="6" max="6" width="12.85546875" style="91" customWidth="1"/>
    <col min="7" max="7" width="10.7109375" style="91" customWidth="1"/>
    <col min="8" max="8" width="12.7109375" style="91" customWidth="1"/>
    <col min="9" max="9" width="12.85546875" style="91" customWidth="1"/>
    <col min="10" max="10" width="11.85546875" style="91" bestFit="1" customWidth="1"/>
    <col min="11" max="11" width="9.7109375" style="91" customWidth="1"/>
    <col min="12" max="12" width="36.140625" style="91" customWidth="1"/>
    <col min="13" max="16384" width="11.42578125" style="91"/>
  </cols>
  <sheetData>
    <row r="1" spans="1:12" ht="17.25" customHeight="1" x14ac:dyDescent="0.25">
      <c r="A1" s="390" t="s">
        <v>557</v>
      </c>
      <c r="B1" s="395"/>
      <c r="C1" s="395"/>
      <c r="D1" s="395"/>
      <c r="E1" s="395"/>
      <c r="F1" s="395"/>
      <c r="G1" s="395"/>
      <c r="H1" s="395"/>
      <c r="I1" s="395"/>
      <c r="J1" s="395"/>
      <c r="K1" s="395"/>
      <c r="L1" s="395"/>
    </row>
    <row r="2" spans="1:12" ht="17.25" customHeight="1" x14ac:dyDescent="0.25">
      <c r="A2" s="390" t="s">
        <v>568</v>
      </c>
      <c r="B2" s="395"/>
      <c r="C2" s="395"/>
      <c r="D2" s="395"/>
      <c r="E2" s="395"/>
      <c r="F2" s="395"/>
      <c r="G2" s="395"/>
      <c r="H2" s="395"/>
      <c r="I2" s="395"/>
      <c r="J2" s="395"/>
      <c r="K2" s="395"/>
      <c r="L2" s="395"/>
    </row>
    <row r="3" spans="1:12" ht="38.25" x14ac:dyDescent="0.25">
      <c r="A3" s="101" t="s">
        <v>5</v>
      </c>
      <c r="B3" s="102" t="s">
        <v>30</v>
      </c>
      <c r="C3" s="102" t="s">
        <v>311</v>
      </c>
      <c r="D3" s="102" t="s">
        <v>312</v>
      </c>
      <c r="E3" s="102" t="s">
        <v>313</v>
      </c>
      <c r="F3" s="102" t="s">
        <v>314</v>
      </c>
      <c r="G3" s="102" t="s">
        <v>82</v>
      </c>
      <c r="H3" s="103" t="s">
        <v>315</v>
      </c>
      <c r="I3" s="104" t="s">
        <v>316</v>
      </c>
      <c r="J3" s="104" t="s">
        <v>317</v>
      </c>
      <c r="K3" s="105" t="s">
        <v>318</v>
      </c>
      <c r="L3" s="102" t="s">
        <v>28</v>
      </c>
    </row>
    <row r="4" spans="1:12" ht="25.5" x14ac:dyDescent="0.25">
      <c r="A4" s="96">
        <v>1</v>
      </c>
      <c r="B4" s="117" t="s">
        <v>501</v>
      </c>
      <c r="C4" s="119">
        <v>9772119</v>
      </c>
      <c r="D4" s="117" t="s">
        <v>506</v>
      </c>
      <c r="E4" s="99">
        <v>42955</v>
      </c>
      <c r="F4" s="96" t="s">
        <v>17</v>
      </c>
      <c r="G4" s="96" t="s">
        <v>10</v>
      </c>
      <c r="H4" s="96">
        <v>4.9800000000000004</v>
      </c>
      <c r="I4" s="96" t="s">
        <v>335</v>
      </c>
      <c r="J4" s="96">
        <v>4</v>
      </c>
      <c r="K4" s="97" t="s">
        <v>320</v>
      </c>
      <c r="L4" s="117"/>
    </row>
    <row r="5" spans="1:12" ht="25.5" x14ac:dyDescent="0.25">
      <c r="A5" s="96">
        <v>2</v>
      </c>
      <c r="B5" s="113" t="s">
        <v>507</v>
      </c>
      <c r="C5" s="96">
        <v>41939761</v>
      </c>
      <c r="D5" s="117" t="s">
        <v>152</v>
      </c>
      <c r="E5" s="116">
        <v>40203</v>
      </c>
      <c r="F5" s="96" t="s">
        <v>21</v>
      </c>
      <c r="G5" s="96" t="s">
        <v>10</v>
      </c>
      <c r="H5" s="96">
        <v>4.9800000000000004</v>
      </c>
      <c r="I5" s="96" t="s">
        <v>338</v>
      </c>
      <c r="J5" s="96">
        <v>4</v>
      </c>
      <c r="K5" s="97" t="s">
        <v>320</v>
      </c>
      <c r="L5" s="117"/>
    </row>
    <row r="6" spans="1:12" ht="38.25" x14ac:dyDescent="0.25">
      <c r="A6" s="96">
        <v>3</v>
      </c>
      <c r="B6" s="117" t="s">
        <v>76</v>
      </c>
      <c r="C6" s="96">
        <v>89007291</v>
      </c>
      <c r="D6" s="117" t="s">
        <v>539</v>
      </c>
      <c r="E6" s="116">
        <v>39142</v>
      </c>
      <c r="F6" s="96" t="s">
        <v>21</v>
      </c>
      <c r="G6" s="96" t="s">
        <v>10</v>
      </c>
      <c r="H6" s="127">
        <v>4.9800000000000004</v>
      </c>
      <c r="I6" s="96" t="s">
        <v>326</v>
      </c>
      <c r="J6" s="96">
        <v>3.9</v>
      </c>
      <c r="K6" s="97" t="s">
        <v>320</v>
      </c>
      <c r="L6" s="117" t="s">
        <v>569</v>
      </c>
    </row>
    <row r="7" spans="1:12" ht="25.5" x14ac:dyDescent="0.25">
      <c r="A7" s="96">
        <v>4</v>
      </c>
      <c r="B7" s="113" t="s">
        <v>433</v>
      </c>
      <c r="C7" s="96">
        <v>18397507</v>
      </c>
      <c r="D7" s="117" t="s">
        <v>448</v>
      </c>
      <c r="E7" s="99">
        <v>41872</v>
      </c>
      <c r="F7" s="96" t="s">
        <v>21</v>
      </c>
      <c r="G7" s="96" t="s">
        <v>10</v>
      </c>
      <c r="H7" s="127">
        <v>4.97</v>
      </c>
      <c r="I7" s="96" t="s">
        <v>338</v>
      </c>
      <c r="J7" s="96">
        <v>4</v>
      </c>
      <c r="K7" s="97" t="s">
        <v>320</v>
      </c>
      <c r="L7" s="113"/>
    </row>
    <row r="8" spans="1:12" x14ac:dyDescent="0.25">
      <c r="A8" s="96">
        <v>5</v>
      </c>
      <c r="B8" s="113" t="s">
        <v>117</v>
      </c>
      <c r="C8" s="119">
        <v>41914225</v>
      </c>
      <c r="D8" s="117" t="s">
        <v>411</v>
      </c>
      <c r="E8" s="99">
        <v>42955</v>
      </c>
      <c r="F8" s="96" t="s">
        <v>17</v>
      </c>
      <c r="G8" s="96" t="s">
        <v>10</v>
      </c>
      <c r="H8" s="96">
        <v>4.96</v>
      </c>
      <c r="I8" s="96" t="s">
        <v>338</v>
      </c>
      <c r="J8" s="96">
        <v>4</v>
      </c>
      <c r="K8" s="97" t="s">
        <v>320</v>
      </c>
      <c r="L8" s="117"/>
    </row>
    <row r="9" spans="1:12" x14ac:dyDescent="0.25">
      <c r="A9" s="96">
        <v>6</v>
      </c>
      <c r="B9" s="113" t="s">
        <v>117</v>
      </c>
      <c r="C9" s="119">
        <v>34536538</v>
      </c>
      <c r="D9" s="117" t="s">
        <v>413</v>
      </c>
      <c r="E9" s="99">
        <v>42955</v>
      </c>
      <c r="F9" s="96" t="s">
        <v>17</v>
      </c>
      <c r="G9" s="96" t="s">
        <v>10</v>
      </c>
      <c r="H9" s="96">
        <v>4.96</v>
      </c>
      <c r="I9" s="96" t="s">
        <v>338</v>
      </c>
      <c r="J9" s="96">
        <v>4</v>
      </c>
      <c r="K9" s="97" t="s">
        <v>320</v>
      </c>
      <c r="L9" s="117"/>
    </row>
    <row r="10" spans="1:12" x14ac:dyDescent="0.25">
      <c r="A10" s="96">
        <v>7</v>
      </c>
      <c r="B10" s="113" t="s">
        <v>125</v>
      </c>
      <c r="C10" s="119">
        <v>43876871</v>
      </c>
      <c r="D10" s="117" t="s">
        <v>428</v>
      </c>
      <c r="E10" s="116">
        <v>41963</v>
      </c>
      <c r="F10" s="96" t="s">
        <v>429</v>
      </c>
      <c r="G10" s="97" t="s">
        <v>10</v>
      </c>
      <c r="H10" s="96">
        <v>4.96</v>
      </c>
      <c r="I10" s="96" t="s">
        <v>335</v>
      </c>
      <c r="J10" s="96">
        <v>4</v>
      </c>
      <c r="K10" s="97" t="s">
        <v>320</v>
      </c>
      <c r="L10" s="117"/>
    </row>
    <row r="11" spans="1:12" x14ac:dyDescent="0.25">
      <c r="A11" s="96">
        <v>8</v>
      </c>
      <c r="B11" s="113" t="s">
        <v>125</v>
      </c>
      <c r="C11" s="119">
        <v>79326473</v>
      </c>
      <c r="D11" s="117" t="s">
        <v>126</v>
      </c>
      <c r="E11" s="116">
        <v>41673</v>
      </c>
      <c r="F11" s="96" t="s">
        <v>21</v>
      </c>
      <c r="G11" s="96" t="s">
        <v>10</v>
      </c>
      <c r="H11" s="96">
        <v>4.96</v>
      </c>
      <c r="I11" s="96" t="s">
        <v>323</v>
      </c>
      <c r="J11" s="96">
        <v>4</v>
      </c>
      <c r="K11" s="97" t="s">
        <v>320</v>
      </c>
      <c r="L11" s="117"/>
    </row>
    <row r="12" spans="1:12" ht="25.5" x14ac:dyDescent="0.25">
      <c r="A12" s="96">
        <v>9</v>
      </c>
      <c r="B12" s="117" t="s">
        <v>501</v>
      </c>
      <c r="C12" s="96">
        <v>8152735</v>
      </c>
      <c r="D12" s="117" t="s">
        <v>503</v>
      </c>
      <c r="E12" s="116">
        <v>40203</v>
      </c>
      <c r="F12" s="96" t="s">
        <v>21</v>
      </c>
      <c r="G12" s="96" t="s">
        <v>10</v>
      </c>
      <c r="H12" s="125">
        <v>4.96</v>
      </c>
      <c r="I12" s="96" t="s">
        <v>323</v>
      </c>
      <c r="J12" s="96">
        <v>4</v>
      </c>
      <c r="K12" s="97" t="s">
        <v>320</v>
      </c>
      <c r="L12" s="117"/>
    </row>
    <row r="13" spans="1:12" x14ac:dyDescent="0.25">
      <c r="A13" s="96">
        <v>10</v>
      </c>
      <c r="B13" s="113" t="s">
        <v>71</v>
      </c>
      <c r="C13" s="119">
        <v>18399636</v>
      </c>
      <c r="D13" s="117" t="s">
        <v>457</v>
      </c>
      <c r="E13" s="116">
        <v>40203</v>
      </c>
      <c r="F13" s="96" t="s">
        <v>21</v>
      </c>
      <c r="G13" s="96" t="s">
        <v>135</v>
      </c>
      <c r="H13" s="127">
        <v>4.95</v>
      </c>
      <c r="I13" s="97" t="s">
        <v>323</v>
      </c>
      <c r="J13" s="96">
        <v>4</v>
      </c>
      <c r="K13" s="97" t="s">
        <v>320</v>
      </c>
      <c r="L13" s="117"/>
    </row>
    <row r="14" spans="1:12" x14ac:dyDescent="0.25">
      <c r="A14" s="96">
        <v>11</v>
      </c>
      <c r="B14" s="113" t="s">
        <v>64</v>
      </c>
      <c r="C14" s="96">
        <v>24580998</v>
      </c>
      <c r="D14" s="117" t="s">
        <v>367</v>
      </c>
      <c r="E14" s="116">
        <v>39660</v>
      </c>
      <c r="F14" s="96" t="s">
        <v>17</v>
      </c>
      <c r="G14" s="96" t="s">
        <v>10</v>
      </c>
      <c r="H14" s="125">
        <v>4.9400000000000004</v>
      </c>
      <c r="I14" s="97" t="s">
        <v>323</v>
      </c>
      <c r="J14" s="96">
        <v>4</v>
      </c>
      <c r="K14" s="97" t="s">
        <v>320</v>
      </c>
      <c r="L14" s="117"/>
    </row>
    <row r="15" spans="1:12" x14ac:dyDescent="0.25">
      <c r="A15" s="96">
        <v>12</v>
      </c>
      <c r="B15" s="113" t="s">
        <v>54</v>
      </c>
      <c r="C15" s="96">
        <v>42144287</v>
      </c>
      <c r="D15" s="117" t="s">
        <v>192</v>
      </c>
      <c r="E15" s="99">
        <v>41872</v>
      </c>
      <c r="F15" s="114" t="s">
        <v>21</v>
      </c>
      <c r="G15" s="96" t="s">
        <v>10</v>
      </c>
      <c r="H15" s="97">
        <v>4.9400000000000004</v>
      </c>
      <c r="I15" s="96" t="s">
        <v>338</v>
      </c>
      <c r="J15" s="96">
        <v>4</v>
      </c>
      <c r="K15" s="97" t="s">
        <v>320</v>
      </c>
      <c r="L15" s="117"/>
    </row>
    <row r="16" spans="1:12" ht="38.25" x14ac:dyDescent="0.25">
      <c r="A16" s="96">
        <v>13</v>
      </c>
      <c r="B16" s="113" t="s">
        <v>64</v>
      </c>
      <c r="C16" s="96">
        <v>41935858</v>
      </c>
      <c r="D16" s="117" t="s">
        <v>372</v>
      </c>
      <c r="E16" s="116">
        <v>40947</v>
      </c>
      <c r="F16" s="96" t="s">
        <v>17</v>
      </c>
      <c r="G16" s="96" t="s">
        <v>10</v>
      </c>
      <c r="H16" s="96">
        <v>4.93</v>
      </c>
      <c r="I16" s="96" t="s">
        <v>335</v>
      </c>
      <c r="J16" s="96">
        <v>3.7</v>
      </c>
      <c r="K16" s="97" t="s">
        <v>320</v>
      </c>
      <c r="L16" s="117" t="s">
        <v>570</v>
      </c>
    </row>
    <row r="17" spans="1:12" ht="25.5" x14ac:dyDescent="0.25">
      <c r="A17" s="96">
        <v>14</v>
      </c>
      <c r="B17" s="117" t="s">
        <v>74</v>
      </c>
      <c r="C17" s="119">
        <v>52377890</v>
      </c>
      <c r="D17" s="117" t="s">
        <v>473</v>
      </c>
      <c r="E17" s="99">
        <v>42955</v>
      </c>
      <c r="F17" s="96" t="s">
        <v>21</v>
      </c>
      <c r="G17" s="96" t="s">
        <v>10</v>
      </c>
      <c r="H17" s="96">
        <v>4.93</v>
      </c>
      <c r="I17" s="96" t="s">
        <v>335</v>
      </c>
      <c r="J17" s="96">
        <v>4</v>
      </c>
      <c r="K17" s="97" t="s">
        <v>320</v>
      </c>
      <c r="L17" s="117"/>
    </row>
    <row r="18" spans="1:12" ht="25.5" x14ac:dyDescent="0.25">
      <c r="A18" s="96">
        <v>15</v>
      </c>
      <c r="B18" s="117" t="s">
        <v>490</v>
      </c>
      <c r="C18" s="96">
        <v>18387759</v>
      </c>
      <c r="D18" s="117" t="s">
        <v>494</v>
      </c>
      <c r="E18" s="116">
        <v>40947</v>
      </c>
      <c r="F18" s="96" t="s">
        <v>17</v>
      </c>
      <c r="G18" s="96" t="s">
        <v>10</v>
      </c>
      <c r="H18" s="147">
        <v>4.93</v>
      </c>
      <c r="I18" s="96" t="s">
        <v>323</v>
      </c>
      <c r="J18" s="96">
        <v>4</v>
      </c>
      <c r="K18" s="97" t="s">
        <v>320</v>
      </c>
      <c r="L18" s="117"/>
    </row>
    <row r="19" spans="1:12" x14ac:dyDescent="0.25">
      <c r="A19" s="96">
        <v>16</v>
      </c>
      <c r="B19" s="113" t="s">
        <v>55</v>
      </c>
      <c r="C19" s="96">
        <v>41902205</v>
      </c>
      <c r="D19" s="117" t="s">
        <v>167</v>
      </c>
      <c r="E19" s="116">
        <v>35828</v>
      </c>
      <c r="F19" s="96" t="s">
        <v>17</v>
      </c>
      <c r="G19" s="96" t="s">
        <v>10</v>
      </c>
      <c r="H19" s="125">
        <v>4.93</v>
      </c>
      <c r="I19" s="96" t="s">
        <v>335</v>
      </c>
      <c r="J19" s="96">
        <v>4</v>
      </c>
      <c r="K19" s="97" t="s">
        <v>320</v>
      </c>
      <c r="L19" s="113"/>
    </row>
    <row r="20" spans="1:12" x14ac:dyDescent="0.25">
      <c r="A20" s="96">
        <v>17</v>
      </c>
      <c r="B20" s="113" t="s">
        <v>54</v>
      </c>
      <c r="C20" s="119">
        <v>79567036</v>
      </c>
      <c r="D20" s="117" t="s">
        <v>546</v>
      </c>
      <c r="E20" s="116">
        <v>43864</v>
      </c>
      <c r="F20" s="96" t="s">
        <v>17</v>
      </c>
      <c r="G20" s="96" t="s">
        <v>10</v>
      </c>
      <c r="H20" s="96">
        <v>4.93</v>
      </c>
      <c r="I20" s="97" t="s">
        <v>322</v>
      </c>
      <c r="J20" s="96">
        <v>4</v>
      </c>
      <c r="K20" s="97" t="s">
        <v>320</v>
      </c>
      <c r="L20" s="117"/>
    </row>
    <row r="21" spans="1:12" x14ac:dyDescent="0.25">
      <c r="A21" s="96">
        <v>18</v>
      </c>
      <c r="B21" s="113" t="s">
        <v>60</v>
      </c>
      <c r="C21" s="96">
        <v>89006026</v>
      </c>
      <c r="D21" s="117" t="s">
        <v>419</v>
      </c>
      <c r="E21" s="116">
        <v>39142</v>
      </c>
      <c r="F21" s="96" t="s">
        <v>17</v>
      </c>
      <c r="G21" s="96" t="s">
        <v>10</v>
      </c>
      <c r="H21" s="96">
        <v>4.92</v>
      </c>
      <c r="I21" s="96" t="s">
        <v>323</v>
      </c>
      <c r="J21" s="96">
        <v>4</v>
      </c>
      <c r="K21" s="97" t="s">
        <v>320</v>
      </c>
      <c r="L21" s="117"/>
    </row>
    <row r="22" spans="1:12" x14ac:dyDescent="0.25">
      <c r="A22" s="96">
        <v>19</v>
      </c>
      <c r="B22" s="113" t="s">
        <v>433</v>
      </c>
      <c r="C22" s="96">
        <v>94286282</v>
      </c>
      <c r="D22" s="117" t="s">
        <v>434</v>
      </c>
      <c r="E22" s="116">
        <v>40203</v>
      </c>
      <c r="F22" s="96" t="s">
        <v>21</v>
      </c>
      <c r="G22" s="96" t="s">
        <v>10</v>
      </c>
      <c r="H22" s="127">
        <v>4.92</v>
      </c>
      <c r="I22" s="96" t="s">
        <v>338</v>
      </c>
      <c r="J22" s="96">
        <v>4</v>
      </c>
      <c r="K22" s="97" t="s">
        <v>320</v>
      </c>
      <c r="L22" s="113"/>
    </row>
    <row r="23" spans="1:12" ht="38.25" x14ac:dyDescent="0.25">
      <c r="A23" s="96">
        <v>20</v>
      </c>
      <c r="B23" s="113" t="s">
        <v>433</v>
      </c>
      <c r="C23" s="119">
        <v>18401163</v>
      </c>
      <c r="D23" s="117" t="s">
        <v>132</v>
      </c>
      <c r="E23" s="99">
        <v>43864</v>
      </c>
      <c r="F23" s="96" t="s">
        <v>17</v>
      </c>
      <c r="G23" s="96" t="s">
        <v>10</v>
      </c>
      <c r="H23" s="96">
        <v>4.92</v>
      </c>
      <c r="I23" s="96" t="s">
        <v>323</v>
      </c>
      <c r="J23" s="96">
        <v>3.1</v>
      </c>
      <c r="K23" s="97" t="s">
        <v>320</v>
      </c>
      <c r="L23" s="117" t="s">
        <v>571</v>
      </c>
    </row>
    <row r="24" spans="1:12" x14ac:dyDescent="0.25">
      <c r="A24" s="392" t="s">
        <v>565</v>
      </c>
      <c r="B24" s="393"/>
      <c r="C24" s="393"/>
      <c r="D24" s="393"/>
      <c r="E24" s="393"/>
      <c r="F24" s="393"/>
      <c r="G24" s="393"/>
      <c r="H24" s="393"/>
      <c r="I24" s="393"/>
      <c r="J24" s="393"/>
      <c r="K24" s="393"/>
      <c r="L24" s="394"/>
    </row>
    <row r="26" spans="1:12" x14ac:dyDescent="0.25">
      <c r="A26" s="155" t="s">
        <v>572</v>
      </c>
      <c r="B26" s="29"/>
      <c r="K26" s="90"/>
      <c r="L26" s="90"/>
    </row>
    <row r="27" spans="1:12" x14ac:dyDescent="0.25">
      <c r="B27" s="29"/>
      <c r="K27" s="90"/>
      <c r="L27" s="90"/>
    </row>
    <row r="28" spans="1:12" x14ac:dyDescent="0.25">
      <c r="B28" s="29"/>
      <c r="K28" s="90"/>
      <c r="L28" s="90"/>
    </row>
    <row r="29" spans="1:12" x14ac:dyDescent="0.25">
      <c r="B29" s="29"/>
      <c r="D29" s="29" t="s">
        <v>13</v>
      </c>
      <c r="G29" s="359" t="s">
        <v>89</v>
      </c>
      <c r="H29" s="359"/>
      <c r="I29" s="359"/>
      <c r="J29" s="359"/>
      <c r="K29" s="90"/>
      <c r="L29" s="90"/>
    </row>
    <row r="30" spans="1:12" x14ac:dyDescent="0.25">
      <c r="B30" s="29"/>
      <c r="C30" s="92"/>
      <c r="D30" s="176" t="s">
        <v>14</v>
      </c>
      <c r="E30" s="92"/>
      <c r="F30" s="90"/>
      <c r="G30" s="360" t="s">
        <v>18</v>
      </c>
      <c r="H30" s="360"/>
      <c r="I30" s="360"/>
      <c r="J30" s="360"/>
    </row>
    <row r="31" spans="1:12" x14ac:dyDescent="0.25">
      <c r="B31" s="29"/>
      <c r="C31" s="90"/>
      <c r="D31" s="177" t="s">
        <v>62</v>
      </c>
      <c r="E31" s="90"/>
      <c r="F31" s="90"/>
      <c r="G31" s="356" t="s">
        <v>573</v>
      </c>
      <c r="H31" s="356"/>
      <c r="I31" s="356"/>
      <c r="J31" s="356"/>
    </row>
    <row r="32" spans="1:12" x14ac:dyDescent="0.25">
      <c r="B32" s="29"/>
      <c r="C32" s="90"/>
      <c r="D32" s="177" t="s">
        <v>15</v>
      </c>
      <c r="E32" s="90"/>
      <c r="F32" s="90"/>
      <c r="G32" s="90"/>
      <c r="H32" s="356" t="s">
        <v>16</v>
      </c>
      <c r="I32" s="356"/>
      <c r="J32" s="90"/>
    </row>
  </sheetData>
  <mergeCells count="7">
    <mergeCell ref="H32:I32"/>
    <mergeCell ref="A1:L1"/>
    <mergeCell ref="A2:L2"/>
    <mergeCell ref="A24:L24"/>
    <mergeCell ref="G29:J29"/>
    <mergeCell ref="G30:J30"/>
    <mergeCell ref="G31:J31"/>
  </mergeCells>
  <pageMargins left="0.7" right="0.7" top="0.75" bottom="0.75" header="0.3" footer="0.3"/>
  <pageSetup paperSize="258" scale="7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4071-518A-4051-98DB-BA42BEC2C3B0}">
  <dimension ref="A1:L32"/>
  <sheetViews>
    <sheetView topLeftCell="A7" workbookViewId="0">
      <selection activeCell="B16" sqref="B16"/>
    </sheetView>
  </sheetViews>
  <sheetFormatPr baseColWidth="10" defaultRowHeight="12.75" x14ac:dyDescent="0.2"/>
  <cols>
    <col min="1" max="1" width="5.5703125" style="98" customWidth="1"/>
    <col min="2" max="2" width="29.5703125" style="98" bestFit="1" customWidth="1"/>
    <col min="3" max="3" width="14.140625" style="98" customWidth="1"/>
    <col min="4" max="4" width="30.28515625" style="33" bestFit="1" customWidth="1"/>
    <col min="5" max="6" width="11.42578125" style="98"/>
    <col min="7" max="7" width="11.140625" style="98" customWidth="1"/>
    <col min="8" max="8" width="12.42578125" style="98" customWidth="1"/>
    <col min="9" max="9" width="13.42578125" style="98" customWidth="1"/>
    <col min="10" max="10" width="12.5703125" style="98" customWidth="1"/>
    <col min="11" max="11" width="9.140625" style="98" customWidth="1"/>
    <col min="12" max="12" width="34.42578125" style="98" customWidth="1"/>
    <col min="13" max="16384" width="11.42578125" style="98"/>
  </cols>
  <sheetData>
    <row r="1" spans="1:12" ht="18" customHeight="1" x14ac:dyDescent="0.2">
      <c r="A1" s="390" t="s">
        <v>557</v>
      </c>
      <c r="B1" s="391"/>
      <c r="C1" s="391"/>
      <c r="D1" s="391"/>
      <c r="E1" s="391"/>
      <c r="F1" s="391"/>
      <c r="G1" s="391"/>
      <c r="H1" s="391"/>
      <c r="I1" s="391"/>
      <c r="J1" s="391"/>
      <c r="K1" s="391"/>
      <c r="L1" s="391"/>
    </row>
    <row r="2" spans="1:12" ht="18" customHeight="1" x14ac:dyDescent="0.2">
      <c r="A2" s="390" t="s">
        <v>574</v>
      </c>
      <c r="B2" s="391"/>
      <c r="C2" s="391"/>
      <c r="D2" s="391"/>
      <c r="E2" s="391"/>
      <c r="F2" s="391"/>
      <c r="G2" s="391"/>
      <c r="H2" s="391"/>
      <c r="I2" s="391"/>
      <c r="J2" s="391"/>
      <c r="K2" s="391"/>
      <c r="L2" s="391"/>
    </row>
    <row r="3" spans="1:12" ht="38.25" x14ac:dyDescent="0.2">
      <c r="A3" s="163" t="s">
        <v>5</v>
      </c>
      <c r="B3" s="164" t="s">
        <v>30</v>
      </c>
      <c r="C3" s="164" t="s">
        <v>311</v>
      </c>
      <c r="D3" s="164" t="s">
        <v>312</v>
      </c>
      <c r="E3" s="164" t="s">
        <v>313</v>
      </c>
      <c r="F3" s="164" t="s">
        <v>314</v>
      </c>
      <c r="G3" s="164" t="s">
        <v>82</v>
      </c>
      <c r="H3" s="165" t="s">
        <v>315</v>
      </c>
      <c r="I3" s="166" t="s">
        <v>316</v>
      </c>
      <c r="J3" s="166" t="s">
        <v>559</v>
      </c>
      <c r="K3" s="167" t="s">
        <v>318</v>
      </c>
      <c r="L3" s="164" t="s">
        <v>28</v>
      </c>
    </row>
    <row r="4" spans="1:12" ht="19.5" customHeight="1" x14ac:dyDescent="0.2">
      <c r="A4" s="96">
        <v>1</v>
      </c>
      <c r="B4" s="113" t="s">
        <v>468</v>
      </c>
      <c r="C4" s="96">
        <v>16356361</v>
      </c>
      <c r="D4" s="117" t="s">
        <v>140</v>
      </c>
      <c r="E4" s="116">
        <v>36923</v>
      </c>
      <c r="F4" s="96" t="s">
        <v>21</v>
      </c>
      <c r="G4" s="96" t="s">
        <v>11</v>
      </c>
      <c r="H4" s="127">
        <v>5</v>
      </c>
      <c r="I4" s="96" t="s">
        <v>323</v>
      </c>
      <c r="J4" s="96">
        <v>5</v>
      </c>
      <c r="K4" s="97" t="s">
        <v>320</v>
      </c>
      <c r="L4" s="117"/>
    </row>
    <row r="5" spans="1:12" ht="19.5" customHeight="1" x14ac:dyDescent="0.2">
      <c r="A5" s="96">
        <v>2</v>
      </c>
      <c r="B5" s="117" t="s">
        <v>76</v>
      </c>
      <c r="C5" s="96">
        <v>89001416</v>
      </c>
      <c r="D5" s="117" t="s">
        <v>187</v>
      </c>
      <c r="E5" s="116">
        <v>39664</v>
      </c>
      <c r="F5" s="96" t="s">
        <v>21</v>
      </c>
      <c r="G5" s="96" t="s">
        <v>11</v>
      </c>
      <c r="H5" s="127">
        <v>5</v>
      </c>
      <c r="I5" s="96" t="s">
        <v>326</v>
      </c>
      <c r="J5" s="96">
        <v>5</v>
      </c>
      <c r="K5" s="97" t="s">
        <v>320</v>
      </c>
      <c r="L5" s="117"/>
    </row>
    <row r="6" spans="1:12" ht="19.5" customHeight="1" x14ac:dyDescent="0.2">
      <c r="A6" s="96">
        <v>3</v>
      </c>
      <c r="B6" s="117" t="s">
        <v>501</v>
      </c>
      <c r="C6" s="96">
        <v>94501347</v>
      </c>
      <c r="D6" s="89" t="s">
        <v>147</v>
      </c>
      <c r="E6" s="116">
        <v>41673</v>
      </c>
      <c r="F6" s="96" t="s">
        <v>21</v>
      </c>
      <c r="G6" s="96" t="s">
        <v>11</v>
      </c>
      <c r="H6" s="96">
        <v>4.99</v>
      </c>
      <c r="I6" s="96" t="s">
        <v>338</v>
      </c>
      <c r="J6" s="96">
        <v>5</v>
      </c>
      <c r="K6" s="97" t="s">
        <v>320</v>
      </c>
      <c r="L6" s="113"/>
    </row>
    <row r="7" spans="1:12" ht="19.5" customHeight="1" x14ac:dyDescent="0.2">
      <c r="A7" s="96">
        <v>4</v>
      </c>
      <c r="B7" s="113" t="s">
        <v>507</v>
      </c>
      <c r="C7" s="96">
        <v>4376943</v>
      </c>
      <c r="D7" s="117" t="s">
        <v>508</v>
      </c>
      <c r="E7" s="116">
        <v>38027</v>
      </c>
      <c r="F7" s="96" t="s">
        <v>21</v>
      </c>
      <c r="G7" s="96" t="s">
        <v>11</v>
      </c>
      <c r="H7" s="127">
        <v>4.9800000000000004</v>
      </c>
      <c r="I7" s="96" t="s">
        <v>322</v>
      </c>
      <c r="J7" s="96">
        <v>5</v>
      </c>
      <c r="K7" s="97" t="s">
        <v>320</v>
      </c>
      <c r="L7" s="117"/>
    </row>
    <row r="8" spans="1:12" ht="19.5" customHeight="1" x14ac:dyDescent="0.2">
      <c r="A8" s="96">
        <v>5</v>
      </c>
      <c r="B8" s="117" t="s">
        <v>197</v>
      </c>
      <c r="C8" s="96">
        <v>10276247</v>
      </c>
      <c r="D8" s="117" t="s">
        <v>200</v>
      </c>
      <c r="E8" s="116">
        <v>40210</v>
      </c>
      <c r="F8" s="96" t="s">
        <v>21</v>
      </c>
      <c r="G8" s="96" t="s">
        <v>11</v>
      </c>
      <c r="H8" s="96">
        <v>4.9800000000000004</v>
      </c>
      <c r="I8" s="96" t="s">
        <v>338</v>
      </c>
      <c r="J8" s="96">
        <v>5</v>
      </c>
      <c r="K8" s="97" t="s">
        <v>320</v>
      </c>
      <c r="L8" s="117"/>
    </row>
    <row r="9" spans="1:12" ht="51" x14ac:dyDescent="0.2">
      <c r="A9" s="96">
        <v>6</v>
      </c>
      <c r="B9" s="117" t="s">
        <v>490</v>
      </c>
      <c r="C9" s="96">
        <v>41936764</v>
      </c>
      <c r="D9" s="117" t="s">
        <v>142</v>
      </c>
      <c r="E9" s="99">
        <v>41872</v>
      </c>
      <c r="F9" s="96" t="s">
        <v>21</v>
      </c>
      <c r="G9" s="96" t="s">
        <v>11</v>
      </c>
      <c r="H9" s="127">
        <v>4.97</v>
      </c>
      <c r="I9" s="96" t="s">
        <v>338</v>
      </c>
      <c r="J9" s="96">
        <v>4.9000000000000004</v>
      </c>
      <c r="K9" s="97" t="s">
        <v>320</v>
      </c>
      <c r="L9" s="117" t="s">
        <v>575</v>
      </c>
    </row>
    <row r="10" spans="1:12" ht="19.5" customHeight="1" x14ac:dyDescent="0.2">
      <c r="A10" s="96">
        <v>7</v>
      </c>
      <c r="B10" s="113" t="s">
        <v>507</v>
      </c>
      <c r="C10" s="96">
        <v>14241527</v>
      </c>
      <c r="D10" s="117" t="s">
        <v>509</v>
      </c>
      <c r="E10" s="116">
        <v>37698</v>
      </c>
      <c r="F10" s="96" t="s">
        <v>21</v>
      </c>
      <c r="G10" s="96" t="s">
        <v>11</v>
      </c>
      <c r="H10" s="127">
        <v>4.97</v>
      </c>
      <c r="I10" s="96" t="s">
        <v>323</v>
      </c>
      <c r="J10" s="96">
        <v>5</v>
      </c>
      <c r="K10" s="97" t="s">
        <v>320</v>
      </c>
      <c r="L10" s="113"/>
    </row>
    <row r="11" spans="1:12" ht="19.5" customHeight="1" x14ac:dyDescent="0.2">
      <c r="A11" s="96">
        <v>8</v>
      </c>
      <c r="B11" s="113" t="s">
        <v>484</v>
      </c>
      <c r="C11" s="96">
        <v>41931649</v>
      </c>
      <c r="D11" s="117" t="s">
        <v>486</v>
      </c>
      <c r="E11" s="116">
        <v>41872</v>
      </c>
      <c r="F11" s="96" t="s">
        <v>21</v>
      </c>
      <c r="G11" s="96" t="s">
        <v>11</v>
      </c>
      <c r="H11" s="96">
        <v>4.96</v>
      </c>
      <c r="I11" s="96" t="s">
        <v>338</v>
      </c>
      <c r="J11" s="96">
        <v>5</v>
      </c>
      <c r="K11" s="97" t="s">
        <v>320</v>
      </c>
      <c r="L11" s="117"/>
    </row>
    <row r="12" spans="1:12" ht="38.25" x14ac:dyDescent="0.2">
      <c r="A12" s="96">
        <v>9</v>
      </c>
      <c r="B12" s="117" t="s">
        <v>348</v>
      </c>
      <c r="C12" s="96">
        <v>41942253</v>
      </c>
      <c r="D12" s="117" t="s">
        <v>349</v>
      </c>
      <c r="E12" s="99">
        <v>41872</v>
      </c>
      <c r="F12" s="96" t="s">
        <v>21</v>
      </c>
      <c r="G12" s="96" t="s">
        <v>11</v>
      </c>
      <c r="H12" s="127">
        <v>4.9400000000000004</v>
      </c>
      <c r="I12" s="127" t="s">
        <v>322</v>
      </c>
      <c r="J12" s="96">
        <v>4.0999999999999996</v>
      </c>
      <c r="K12" s="97" t="s">
        <v>320</v>
      </c>
      <c r="L12" s="117" t="s">
        <v>576</v>
      </c>
    </row>
    <row r="13" spans="1:12" ht="19.5" customHeight="1" x14ac:dyDescent="0.2">
      <c r="A13" s="96">
        <v>10</v>
      </c>
      <c r="B13" s="113" t="s">
        <v>468</v>
      </c>
      <c r="C13" s="96">
        <v>41885303</v>
      </c>
      <c r="D13" s="117" t="s">
        <v>469</v>
      </c>
      <c r="E13" s="116">
        <v>35828</v>
      </c>
      <c r="F13" s="96" t="s">
        <v>21</v>
      </c>
      <c r="G13" s="96" t="s">
        <v>11</v>
      </c>
      <c r="H13" s="127">
        <v>4.9400000000000004</v>
      </c>
      <c r="I13" s="96" t="s">
        <v>326</v>
      </c>
      <c r="J13" s="96">
        <v>5</v>
      </c>
      <c r="K13" s="97" t="s">
        <v>320</v>
      </c>
      <c r="L13" s="117"/>
    </row>
    <row r="14" spans="1:12" ht="19.5" customHeight="1" x14ac:dyDescent="0.2">
      <c r="A14" s="96">
        <v>11</v>
      </c>
      <c r="B14" s="113" t="s">
        <v>433</v>
      </c>
      <c r="C14" s="96">
        <v>89004671</v>
      </c>
      <c r="D14" s="117" t="s">
        <v>435</v>
      </c>
      <c r="E14" s="116">
        <v>38985</v>
      </c>
      <c r="F14" s="96" t="s">
        <v>21</v>
      </c>
      <c r="G14" s="96" t="s">
        <v>11</v>
      </c>
      <c r="H14" s="127">
        <v>4.93</v>
      </c>
      <c r="I14" s="96" t="s">
        <v>338</v>
      </c>
      <c r="J14" s="96">
        <v>5</v>
      </c>
      <c r="K14" s="97" t="s">
        <v>320</v>
      </c>
      <c r="L14" s="113"/>
    </row>
    <row r="15" spans="1:12" ht="19.5" customHeight="1" x14ac:dyDescent="0.2">
      <c r="A15" s="96">
        <v>12</v>
      </c>
      <c r="B15" s="117" t="s">
        <v>76</v>
      </c>
      <c r="C15" s="96">
        <v>16209177</v>
      </c>
      <c r="D15" s="117" t="s">
        <v>538</v>
      </c>
      <c r="E15" s="116">
        <v>31810</v>
      </c>
      <c r="F15" s="96" t="s">
        <v>17</v>
      </c>
      <c r="G15" s="96" t="s">
        <v>11</v>
      </c>
      <c r="H15" s="96">
        <v>4.93</v>
      </c>
      <c r="I15" s="96" t="s">
        <v>335</v>
      </c>
      <c r="J15" s="96">
        <v>5</v>
      </c>
      <c r="K15" s="97" t="s">
        <v>403</v>
      </c>
      <c r="L15" s="117"/>
    </row>
    <row r="16" spans="1:12" ht="19.5" customHeight="1" x14ac:dyDescent="0.2">
      <c r="A16" s="96">
        <v>13</v>
      </c>
      <c r="B16" s="113" t="s">
        <v>70</v>
      </c>
      <c r="C16" s="96">
        <v>94378416</v>
      </c>
      <c r="D16" s="117" t="s">
        <v>106</v>
      </c>
      <c r="E16" s="116">
        <v>41436</v>
      </c>
      <c r="F16" s="96" t="s">
        <v>21</v>
      </c>
      <c r="G16" s="96" t="s">
        <v>11</v>
      </c>
      <c r="H16" s="96">
        <v>4.92</v>
      </c>
      <c r="I16" s="96" t="s">
        <v>338</v>
      </c>
      <c r="J16" s="96">
        <v>5</v>
      </c>
      <c r="K16" s="97" t="s">
        <v>320</v>
      </c>
      <c r="L16" s="117"/>
    </row>
    <row r="17" spans="1:12" ht="19.5" customHeight="1" x14ac:dyDescent="0.2">
      <c r="A17" s="96">
        <v>14</v>
      </c>
      <c r="B17" s="113" t="s">
        <v>64</v>
      </c>
      <c r="C17" s="96">
        <v>89000779</v>
      </c>
      <c r="D17" s="117" t="s">
        <v>374</v>
      </c>
      <c r="E17" s="116">
        <v>38777</v>
      </c>
      <c r="F17" s="96" t="s">
        <v>21</v>
      </c>
      <c r="G17" s="96" t="s">
        <v>11</v>
      </c>
      <c r="H17" s="96">
        <v>4.92</v>
      </c>
      <c r="I17" s="96" t="s">
        <v>335</v>
      </c>
      <c r="J17" s="96">
        <v>5</v>
      </c>
      <c r="K17" s="97" t="s">
        <v>320</v>
      </c>
      <c r="L17" s="117"/>
    </row>
    <row r="18" spans="1:12" ht="19.5" customHeight="1" x14ac:dyDescent="0.2">
      <c r="A18" s="96">
        <v>15</v>
      </c>
      <c r="B18" s="113" t="s">
        <v>64</v>
      </c>
      <c r="C18" s="96">
        <v>18385247</v>
      </c>
      <c r="D18" s="117" t="s">
        <v>375</v>
      </c>
      <c r="E18" s="116">
        <v>38027</v>
      </c>
      <c r="F18" s="96" t="s">
        <v>17</v>
      </c>
      <c r="G18" s="96" t="s">
        <v>11</v>
      </c>
      <c r="H18" s="96">
        <v>4.92</v>
      </c>
      <c r="I18" s="96" t="s">
        <v>335</v>
      </c>
      <c r="J18" s="96">
        <v>5</v>
      </c>
      <c r="K18" s="97" t="s">
        <v>320</v>
      </c>
      <c r="L18" s="117"/>
    </row>
    <row r="19" spans="1:12" ht="19.5" customHeight="1" x14ac:dyDescent="0.2">
      <c r="A19" s="96">
        <v>16</v>
      </c>
      <c r="B19" s="113" t="s">
        <v>71</v>
      </c>
      <c r="C19" s="96">
        <v>76316780</v>
      </c>
      <c r="D19" s="117" t="s">
        <v>452</v>
      </c>
      <c r="E19" s="116">
        <v>38376</v>
      </c>
      <c r="F19" s="96" t="s">
        <v>21</v>
      </c>
      <c r="G19" s="96" t="s">
        <v>11</v>
      </c>
      <c r="H19" s="97">
        <v>4.92</v>
      </c>
      <c r="I19" s="96" t="s">
        <v>326</v>
      </c>
      <c r="J19" s="96">
        <v>5</v>
      </c>
      <c r="K19" s="97" t="s">
        <v>320</v>
      </c>
      <c r="L19" s="113"/>
    </row>
    <row r="20" spans="1:12" ht="19.5" customHeight="1" x14ac:dyDescent="0.2">
      <c r="A20" s="96">
        <v>17</v>
      </c>
      <c r="B20" s="113" t="s">
        <v>484</v>
      </c>
      <c r="C20" s="96">
        <v>41885800</v>
      </c>
      <c r="D20" s="117" t="s">
        <v>489</v>
      </c>
      <c r="E20" s="116">
        <v>32554</v>
      </c>
      <c r="F20" s="96" t="s">
        <v>17</v>
      </c>
      <c r="G20" s="96" t="s">
        <v>11</v>
      </c>
      <c r="H20" s="96">
        <v>4.92</v>
      </c>
      <c r="I20" s="96" t="s">
        <v>323</v>
      </c>
      <c r="J20" s="96">
        <v>5</v>
      </c>
      <c r="K20" s="97" t="s">
        <v>403</v>
      </c>
      <c r="L20" s="117"/>
    </row>
    <row r="21" spans="1:12" ht="19.5" customHeight="1" x14ac:dyDescent="0.2">
      <c r="A21" s="96">
        <v>18</v>
      </c>
      <c r="B21" s="113" t="s">
        <v>462</v>
      </c>
      <c r="C21" s="96">
        <v>7540504</v>
      </c>
      <c r="D21" s="117" t="s">
        <v>465</v>
      </c>
      <c r="E21" s="116">
        <v>34171</v>
      </c>
      <c r="F21" s="96" t="s">
        <v>17</v>
      </c>
      <c r="G21" s="96" t="s">
        <v>11</v>
      </c>
      <c r="H21" s="127">
        <v>4.91</v>
      </c>
      <c r="I21" s="96" t="s">
        <v>326</v>
      </c>
      <c r="J21" s="96">
        <v>5</v>
      </c>
      <c r="K21" s="97" t="s">
        <v>320</v>
      </c>
      <c r="L21" s="117"/>
    </row>
    <row r="22" spans="1:12" ht="51" x14ac:dyDescent="0.2">
      <c r="A22" s="96">
        <v>19</v>
      </c>
      <c r="B22" s="117" t="s">
        <v>26</v>
      </c>
      <c r="C22" s="96">
        <v>17655304</v>
      </c>
      <c r="D22" s="117" t="s">
        <v>480</v>
      </c>
      <c r="E22" s="116">
        <v>40947</v>
      </c>
      <c r="F22" s="96" t="s">
        <v>21</v>
      </c>
      <c r="G22" s="96" t="s">
        <v>11</v>
      </c>
      <c r="H22" s="125">
        <v>4.9000000000000004</v>
      </c>
      <c r="I22" s="96" t="s">
        <v>353</v>
      </c>
      <c r="J22" s="96">
        <v>2.7</v>
      </c>
      <c r="K22" s="97" t="s">
        <v>320</v>
      </c>
      <c r="L22" s="117" t="s">
        <v>577</v>
      </c>
    </row>
    <row r="23" spans="1:12" ht="19.5" customHeight="1" x14ac:dyDescent="0.2">
      <c r="A23" s="96">
        <v>20</v>
      </c>
      <c r="B23" s="113" t="s">
        <v>507</v>
      </c>
      <c r="C23" s="96">
        <v>18492637</v>
      </c>
      <c r="D23" s="117" t="s">
        <v>153</v>
      </c>
      <c r="E23" s="99">
        <v>41872</v>
      </c>
      <c r="F23" s="96" t="s">
        <v>21</v>
      </c>
      <c r="G23" s="96" t="s">
        <v>11</v>
      </c>
      <c r="H23" s="127">
        <v>4.9000000000000004</v>
      </c>
      <c r="I23" s="96" t="s">
        <v>323</v>
      </c>
      <c r="J23" s="96">
        <v>5</v>
      </c>
      <c r="K23" s="97" t="s">
        <v>320</v>
      </c>
      <c r="L23" s="117"/>
    </row>
    <row r="24" spans="1:12" x14ac:dyDescent="0.2">
      <c r="A24" s="392" t="s">
        <v>578</v>
      </c>
      <c r="B24" s="393"/>
      <c r="C24" s="393"/>
      <c r="D24" s="393"/>
      <c r="E24" s="393"/>
      <c r="F24" s="393"/>
      <c r="G24" s="393"/>
      <c r="H24" s="393"/>
      <c r="I24" s="393"/>
      <c r="J24" s="393"/>
      <c r="K24" s="393"/>
      <c r="L24" s="394"/>
    </row>
    <row r="25" spans="1:12" x14ac:dyDescent="0.2">
      <c r="A25" s="155"/>
      <c r="B25" s="29"/>
      <c r="C25" s="91"/>
      <c r="D25" s="29"/>
      <c r="F25" s="30"/>
      <c r="G25" s="91"/>
      <c r="H25" s="91"/>
      <c r="I25" s="91"/>
      <c r="J25" s="91"/>
      <c r="K25" s="90"/>
      <c r="L25" s="29"/>
    </row>
    <row r="26" spans="1:12" x14ac:dyDescent="0.2">
      <c r="A26" s="155" t="s">
        <v>579</v>
      </c>
      <c r="B26" s="29"/>
      <c r="C26" s="91"/>
      <c r="D26" s="29"/>
      <c r="F26" s="30"/>
      <c r="G26" s="91"/>
      <c r="H26" s="91"/>
      <c r="I26" s="91"/>
      <c r="J26" s="91"/>
      <c r="K26" s="90"/>
      <c r="L26" s="29"/>
    </row>
    <row r="27" spans="1:12" x14ac:dyDescent="0.2">
      <c r="A27" s="155"/>
      <c r="B27" s="29"/>
      <c r="C27" s="91"/>
      <c r="D27" s="29"/>
      <c r="F27" s="30"/>
      <c r="G27" s="91"/>
      <c r="H27" s="91"/>
      <c r="I27" s="91"/>
      <c r="J27" s="91"/>
      <c r="K27" s="90"/>
      <c r="L27" s="29"/>
    </row>
    <row r="28" spans="1:12" x14ac:dyDescent="0.2">
      <c r="A28" s="155"/>
      <c r="B28" s="29"/>
      <c r="C28" s="91"/>
      <c r="D28" s="29"/>
      <c r="F28" s="30"/>
      <c r="G28" s="91"/>
      <c r="H28" s="91"/>
      <c r="I28" s="91"/>
      <c r="J28" s="91"/>
      <c r="K28" s="90"/>
      <c r="L28" s="29"/>
    </row>
    <row r="29" spans="1:12" x14ac:dyDescent="0.2">
      <c r="A29" s="91"/>
      <c r="B29" s="29"/>
      <c r="C29" s="91"/>
      <c r="D29" s="90" t="s">
        <v>13</v>
      </c>
      <c r="F29" s="30"/>
      <c r="G29" s="359" t="s">
        <v>89</v>
      </c>
      <c r="H29" s="359"/>
      <c r="I29" s="359"/>
      <c r="J29" s="359"/>
      <c r="K29" s="90"/>
      <c r="L29" s="29"/>
    </row>
    <row r="30" spans="1:12" x14ac:dyDescent="0.2">
      <c r="B30" s="33"/>
      <c r="C30" s="156"/>
      <c r="D30" s="92" t="s">
        <v>14</v>
      </c>
      <c r="E30" s="156"/>
      <c r="F30" s="34"/>
      <c r="G30" s="360" t="s">
        <v>18</v>
      </c>
      <c r="H30" s="360"/>
      <c r="I30" s="360"/>
      <c r="J30" s="360"/>
    </row>
    <row r="31" spans="1:12" x14ac:dyDescent="0.2">
      <c r="B31" s="33"/>
      <c r="C31" s="34"/>
      <c r="D31" s="90" t="s">
        <v>62</v>
      </c>
      <c r="E31" s="34"/>
      <c r="F31" s="34"/>
      <c r="G31" s="356" t="s">
        <v>20</v>
      </c>
      <c r="H31" s="356"/>
      <c r="I31" s="356"/>
      <c r="J31" s="356"/>
    </row>
    <row r="32" spans="1:12" x14ac:dyDescent="0.2">
      <c r="B32" s="33"/>
      <c r="C32" s="34"/>
      <c r="D32" s="90" t="s">
        <v>15</v>
      </c>
      <c r="E32" s="34"/>
      <c r="F32" s="34"/>
      <c r="G32" s="33"/>
      <c r="H32" s="356" t="s">
        <v>16</v>
      </c>
      <c r="I32" s="356"/>
      <c r="J32" s="34"/>
    </row>
  </sheetData>
  <mergeCells count="7">
    <mergeCell ref="H32:I32"/>
    <mergeCell ref="A1:L1"/>
    <mergeCell ref="A2:L2"/>
    <mergeCell ref="A24:L24"/>
    <mergeCell ref="G29:J29"/>
    <mergeCell ref="G30:J30"/>
    <mergeCell ref="G31:J31"/>
  </mergeCells>
  <pageMargins left="0.7" right="0.7" top="0.75" bottom="0.75" header="0.3" footer="0.3"/>
  <pageSetup paperSize="258" scale="7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1D75-4D1E-47E1-A28B-EE0D88C27ABA}">
  <dimension ref="A1:L279"/>
  <sheetViews>
    <sheetView workbookViewId="0">
      <selection activeCell="M31" sqref="M31"/>
    </sheetView>
  </sheetViews>
  <sheetFormatPr baseColWidth="10" defaultColWidth="14.42578125" defaultRowHeight="12.75" x14ac:dyDescent="0.2"/>
  <cols>
    <col min="1" max="1" width="5.42578125" style="98" customWidth="1"/>
    <col min="2" max="2" width="27.42578125" style="33" bestFit="1" customWidth="1"/>
    <col min="3" max="3" width="13.85546875" style="98" customWidth="1"/>
    <col min="4" max="4" width="36.140625" style="33" bestFit="1" customWidth="1"/>
    <col min="5" max="5" width="8.85546875" style="98" bestFit="1" customWidth="1"/>
    <col min="6" max="6" width="11.42578125" style="98" bestFit="1" customWidth="1"/>
    <col min="7" max="7" width="10" style="98" bestFit="1" customWidth="1"/>
    <col min="8" max="8" width="11.140625" style="98" bestFit="1" customWidth="1"/>
    <col min="9" max="9" width="11.28515625" style="98" bestFit="1" customWidth="1"/>
    <col min="10" max="10" width="11.5703125" style="98" bestFit="1" customWidth="1"/>
    <col min="11" max="11" width="11.85546875" style="98" bestFit="1" customWidth="1"/>
    <col min="12" max="12" width="51.7109375" style="98" customWidth="1"/>
    <col min="13" max="16384" width="14.42578125" style="98"/>
  </cols>
  <sheetData>
    <row r="1" spans="1:12" ht="21.75" customHeight="1" x14ac:dyDescent="0.2">
      <c r="A1" s="396" t="s">
        <v>309</v>
      </c>
      <c r="B1" s="396"/>
      <c r="C1" s="396"/>
      <c r="D1" s="396"/>
      <c r="E1" s="396"/>
      <c r="F1" s="396"/>
      <c r="G1" s="396"/>
      <c r="H1" s="396"/>
      <c r="I1" s="396"/>
      <c r="J1" s="396"/>
      <c r="K1" s="396"/>
      <c r="L1" s="396"/>
    </row>
    <row r="2" spans="1:12" ht="22.5" customHeight="1" x14ac:dyDescent="0.2">
      <c r="A2" s="396" t="s">
        <v>310</v>
      </c>
      <c r="B2" s="396"/>
      <c r="C2" s="396"/>
      <c r="D2" s="396"/>
      <c r="E2" s="396"/>
      <c r="F2" s="396"/>
      <c r="G2" s="396"/>
      <c r="H2" s="396"/>
      <c r="I2" s="396"/>
      <c r="J2" s="396"/>
      <c r="K2" s="396"/>
      <c r="L2" s="396"/>
    </row>
    <row r="3" spans="1:12" ht="38.25" x14ac:dyDescent="0.2">
      <c r="A3" s="101" t="s">
        <v>5</v>
      </c>
      <c r="B3" s="102" t="s">
        <v>30</v>
      </c>
      <c r="C3" s="102" t="s">
        <v>311</v>
      </c>
      <c r="D3" s="102" t="s">
        <v>312</v>
      </c>
      <c r="E3" s="102" t="s">
        <v>313</v>
      </c>
      <c r="F3" s="102" t="s">
        <v>314</v>
      </c>
      <c r="G3" s="102" t="s">
        <v>82</v>
      </c>
      <c r="H3" s="103" t="s">
        <v>315</v>
      </c>
      <c r="I3" s="104" t="s">
        <v>316</v>
      </c>
      <c r="J3" s="104" t="s">
        <v>317</v>
      </c>
      <c r="K3" s="105" t="s">
        <v>318</v>
      </c>
      <c r="L3" s="102" t="s">
        <v>28</v>
      </c>
    </row>
    <row r="4" spans="1:12" ht="38.25" x14ac:dyDescent="0.2">
      <c r="A4" s="106">
        <v>1</v>
      </c>
      <c r="B4" s="107" t="s">
        <v>202</v>
      </c>
      <c r="C4" s="28">
        <v>24606935</v>
      </c>
      <c r="D4" s="108" t="s">
        <v>95</v>
      </c>
      <c r="E4" s="109">
        <v>43864</v>
      </c>
      <c r="F4" s="110" t="s">
        <v>17</v>
      </c>
      <c r="G4" s="110" t="s">
        <v>59</v>
      </c>
      <c r="H4" s="111">
        <v>4.88</v>
      </c>
      <c r="I4" s="106" t="s">
        <v>319</v>
      </c>
      <c r="J4" s="112">
        <v>2</v>
      </c>
      <c r="K4" s="110" t="s">
        <v>320</v>
      </c>
      <c r="L4" s="108" t="s">
        <v>321</v>
      </c>
    </row>
    <row r="5" spans="1:12" x14ac:dyDescent="0.2">
      <c r="A5" s="96">
        <v>2</v>
      </c>
      <c r="B5" s="113" t="s">
        <v>202</v>
      </c>
      <c r="C5" s="114">
        <v>89007946</v>
      </c>
      <c r="D5" s="115" t="s">
        <v>96</v>
      </c>
      <c r="E5" s="116">
        <v>44963</v>
      </c>
      <c r="F5" s="97" t="s">
        <v>17</v>
      </c>
      <c r="G5" s="97" t="s">
        <v>22</v>
      </c>
      <c r="H5" s="96">
        <v>4.63</v>
      </c>
      <c r="I5" s="96" t="s">
        <v>322</v>
      </c>
      <c r="J5" s="96">
        <v>2</v>
      </c>
      <c r="K5" s="97" t="s">
        <v>320</v>
      </c>
      <c r="L5" s="117"/>
    </row>
    <row r="6" spans="1:12" ht="25.5" x14ac:dyDescent="0.2">
      <c r="A6" s="96">
        <v>3</v>
      </c>
      <c r="B6" s="113" t="s">
        <v>202</v>
      </c>
      <c r="C6" s="118">
        <v>24809412</v>
      </c>
      <c r="D6" s="117" t="s">
        <v>97</v>
      </c>
      <c r="E6" s="99">
        <v>42955</v>
      </c>
      <c r="F6" s="97" t="s">
        <v>21</v>
      </c>
      <c r="G6" s="97" t="s">
        <v>10</v>
      </c>
      <c r="H6" s="96">
        <v>4.78</v>
      </c>
      <c r="I6" s="96" t="s">
        <v>323</v>
      </c>
      <c r="J6" s="96">
        <v>2</v>
      </c>
      <c r="K6" s="97" t="s">
        <v>320</v>
      </c>
      <c r="L6" s="117" t="s">
        <v>324</v>
      </c>
    </row>
    <row r="7" spans="1:12" x14ac:dyDescent="0.2">
      <c r="A7" s="96">
        <v>4</v>
      </c>
      <c r="B7" s="113" t="s">
        <v>202</v>
      </c>
      <c r="C7" s="97">
        <v>41935384</v>
      </c>
      <c r="D7" s="117" t="s">
        <v>325</v>
      </c>
      <c r="E7" s="99">
        <v>41436</v>
      </c>
      <c r="F7" s="97" t="s">
        <v>17</v>
      </c>
      <c r="G7" s="97" t="s">
        <v>11</v>
      </c>
      <c r="H7" s="96">
        <v>4.8899999999999997</v>
      </c>
      <c r="I7" s="96" t="s">
        <v>326</v>
      </c>
      <c r="J7" s="96">
        <v>2</v>
      </c>
      <c r="K7" s="97" t="s">
        <v>320</v>
      </c>
      <c r="L7" s="117"/>
    </row>
    <row r="8" spans="1:12" x14ac:dyDescent="0.2">
      <c r="A8" s="96">
        <v>5</v>
      </c>
      <c r="B8" s="113" t="s">
        <v>202</v>
      </c>
      <c r="C8" s="119">
        <v>7558182</v>
      </c>
      <c r="D8" s="117" t="s">
        <v>98</v>
      </c>
      <c r="E8" s="99">
        <v>43864</v>
      </c>
      <c r="F8" s="97" t="s">
        <v>17</v>
      </c>
      <c r="G8" s="97" t="s">
        <v>22</v>
      </c>
      <c r="H8" s="96">
        <v>4.88</v>
      </c>
      <c r="I8" s="96" t="s">
        <v>327</v>
      </c>
      <c r="J8" s="96">
        <v>2</v>
      </c>
      <c r="K8" s="97" t="s">
        <v>320</v>
      </c>
      <c r="L8" s="117"/>
    </row>
    <row r="9" spans="1:12" x14ac:dyDescent="0.2">
      <c r="A9" s="96">
        <v>6</v>
      </c>
      <c r="B9" s="113" t="s">
        <v>202</v>
      </c>
      <c r="C9" s="96">
        <v>7557752</v>
      </c>
      <c r="D9" s="113" t="s">
        <v>328</v>
      </c>
      <c r="E9" s="116">
        <v>39664</v>
      </c>
      <c r="F9" s="96" t="s">
        <v>17</v>
      </c>
      <c r="G9" s="96" t="s">
        <v>10</v>
      </c>
      <c r="H9" s="96">
        <v>4.91</v>
      </c>
      <c r="I9" s="96" t="s">
        <v>323</v>
      </c>
      <c r="J9" s="96">
        <v>2</v>
      </c>
      <c r="K9" s="97" t="s">
        <v>320</v>
      </c>
      <c r="L9" s="117"/>
    </row>
    <row r="10" spans="1:12" x14ac:dyDescent="0.2">
      <c r="A10" s="96">
        <v>7</v>
      </c>
      <c r="B10" s="113" t="s">
        <v>202</v>
      </c>
      <c r="C10" s="114">
        <v>1094947500</v>
      </c>
      <c r="D10" s="115" t="s">
        <v>329</v>
      </c>
      <c r="E10" s="116">
        <v>44963</v>
      </c>
      <c r="F10" s="97" t="s">
        <v>21</v>
      </c>
      <c r="G10" s="97" t="s">
        <v>59</v>
      </c>
      <c r="H10" s="96">
        <v>4.88</v>
      </c>
      <c r="I10" s="96" t="s">
        <v>322</v>
      </c>
      <c r="J10" s="96">
        <v>2</v>
      </c>
      <c r="K10" s="97" t="s">
        <v>320</v>
      </c>
      <c r="L10" s="117"/>
    </row>
    <row r="11" spans="1:12" ht="25.5" x14ac:dyDescent="0.2">
      <c r="A11" s="120">
        <v>8</v>
      </c>
      <c r="B11" s="121" t="s">
        <v>203</v>
      </c>
      <c r="C11" s="120">
        <v>29332068</v>
      </c>
      <c r="D11" s="122" t="s">
        <v>330</v>
      </c>
      <c r="E11" s="123">
        <v>40203</v>
      </c>
      <c r="F11" s="120" t="s">
        <v>21</v>
      </c>
      <c r="G11" s="120" t="s">
        <v>11</v>
      </c>
      <c r="H11" s="120">
        <v>4.99</v>
      </c>
      <c r="I11" s="120" t="s">
        <v>323</v>
      </c>
      <c r="J11" s="120">
        <v>2</v>
      </c>
      <c r="K11" s="124" t="s">
        <v>331</v>
      </c>
      <c r="L11" s="121" t="s">
        <v>99</v>
      </c>
    </row>
    <row r="12" spans="1:12" x14ac:dyDescent="0.2">
      <c r="A12" s="96">
        <v>9</v>
      </c>
      <c r="B12" s="117" t="s">
        <v>203</v>
      </c>
      <c r="C12" s="96">
        <v>29226257</v>
      </c>
      <c r="D12" s="115" t="s">
        <v>100</v>
      </c>
      <c r="E12" s="116">
        <v>44963</v>
      </c>
      <c r="F12" s="97" t="s">
        <v>17</v>
      </c>
      <c r="G12" s="114" t="s">
        <v>22</v>
      </c>
      <c r="H12" s="125">
        <v>5</v>
      </c>
      <c r="I12" s="96" t="s">
        <v>323</v>
      </c>
      <c r="J12" s="96">
        <v>2</v>
      </c>
      <c r="K12" s="97" t="s">
        <v>320</v>
      </c>
      <c r="L12" s="117"/>
    </row>
    <row r="13" spans="1:12" x14ac:dyDescent="0.2">
      <c r="A13" s="96">
        <v>10</v>
      </c>
      <c r="B13" s="117" t="s">
        <v>203</v>
      </c>
      <c r="C13" s="97">
        <v>7554040</v>
      </c>
      <c r="D13" s="117" t="s">
        <v>332</v>
      </c>
      <c r="E13" s="99">
        <v>39660</v>
      </c>
      <c r="F13" s="97" t="s">
        <v>17</v>
      </c>
      <c r="G13" s="96" t="s">
        <v>11</v>
      </c>
      <c r="H13" s="96">
        <v>4.83</v>
      </c>
      <c r="I13" s="96" t="s">
        <v>323</v>
      </c>
      <c r="J13" s="96">
        <v>2</v>
      </c>
      <c r="K13" s="97" t="s">
        <v>320</v>
      </c>
      <c r="L13" s="117"/>
    </row>
    <row r="14" spans="1:12" x14ac:dyDescent="0.2">
      <c r="A14" s="96">
        <v>11</v>
      </c>
      <c r="B14" s="117" t="s">
        <v>203</v>
      </c>
      <c r="C14" s="114">
        <v>41916725</v>
      </c>
      <c r="D14" s="115" t="s">
        <v>333</v>
      </c>
      <c r="E14" s="116">
        <v>44963</v>
      </c>
      <c r="F14" s="97" t="s">
        <v>17</v>
      </c>
      <c r="G14" s="96" t="s">
        <v>59</v>
      </c>
      <c r="H14" s="125">
        <v>4.95</v>
      </c>
      <c r="I14" s="96" t="s">
        <v>322</v>
      </c>
      <c r="J14" s="96">
        <v>2</v>
      </c>
      <c r="K14" s="97" t="s">
        <v>320</v>
      </c>
      <c r="L14" s="117"/>
    </row>
    <row r="15" spans="1:12" x14ac:dyDescent="0.2">
      <c r="A15" s="96">
        <v>12</v>
      </c>
      <c r="B15" s="113" t="s">
        <v>101</v>
      </c>
      <c r="C15" s="96">
        <v>7551802</v>
      </c>
      <c r="D15" s="113" t="s">
        <v>334</v>
      </c>
      <c r="E15" s="116">
        <v>43951</v>
      </c>
      <c r="F15" s="96" t="s">
        <v>21</v>
      </c>
      <c r="G15" s="96" t="s">
        <v>22</v>
      </c>
      <c r="H15" s="96">
        <v>4.62</v>
      </c>
      <c r="I15" s="96" t="s">
        <v>335</v>
      </c>
      <c r="J15" s="96">
        <v>2</v>
      </c>
      <c r="K15" s="97" t="s">
        <v>320</v>
      </c>
      <c r="L15" s="117"/>
    </row>
    <row r="16" spans="1:12" x14ac:dyDescent="0.2">
      <c r="A16" s="96">
        <v>13</v>
      </c>
      <c r="B16" s="113" t="s">
        <v>101</v>
      </c>
      <c r="C16" s="96">
        <v>41914131</v>
      </c>
      <c r="D16" s="113" t="s">
        <v>336</v>
      </c>
      <c r="E16" s="116">
        <v>41872</v>
      </c>
      <c r="F16" s="96" t="s">
        <v>17</v>
      </c>
      <c r="G16" s="96" t="s">
        <v>59</v>
      </c>
      <c r="H16" s="96">
        <v>4.8899999999999997</v>
      </c>
      <c r="I16" s="96" t="s">
        <v>335</v>
      </c>
      <c r="J16" s="96">
        <v>2</v>
      </c>
      <c r="K16" s="97" t="s">
        <v>320</v>
      </c>
      <c r="L16" s="117"/>
    </row>
    <row r="17" spans="1:12" x14ac:dyDescent="0.2">
      <c r="A17" s="96">
        <v>14</v>
      </c>
      <c r="B17" s="113" t="s">
        <v>101</v>
      </c>
      <c r="C17" s="114">
        <v>9727322</v>
      </c>
      <c r="D17" s="115" t="s">
        <v>337</v>
      </c>
      <c r="E17" s="126">
        <v>44963</v>
      </c>
      <c r="F17" s="114" t="s">
        <v>17</v>
      </c>
      <c r="G17" s="96" t="s">
        <v>59</v>
      </c>
      <c r="H17" s="125">
        <v>4.2</v>
      </c>
      <c r="I17" s="96" t="s">
        <v>338</v>
      </c>
      <c r="J17" s="96">
        <v>1.6</v>
      </c>
      <c r="K17" s="97" t="s">
        <v>320</v>
      </c>
      <c r="L17" s="117"/>
    </row>
    <row r="18" spans="1:12" x14ac:dyDescent="0.2">
      <c r="A18" s="96">
        <v>15</v>
      </c>
      <c r="B18" s="113" t="s">
        <v>70</v>
      </c>
      <c r="C18" s="114">
        <v>94287028</v>
      </c>
      <c r="D18" s="115" t="s">
        <v>102</v>
      </c>
      <c r="E18" s="126">
        <v>44967</v>
      </c>
      <c r="F18" s="114" t="s">
        <v>21</v>
      </c>
      <c r="G18" s="96" t="s">
        <v>22</v>
      </c>
      <c r="H18" s="127">
        <v>4.83</v>
      </c>
      <c r="I18" s="96" t="s">
        <v>322</v>
      </c>
      <c r="J18" s="96">
        <v>2</v>
      </c>
      <c r="K18" s="97" t="s">
        <v>320</v>
      </c>
      <c r="L18" s="117"/>
    </row>
    <row r="19" spans="1:12" x14ac:dyDescent="0.2">
      <c r="A19" s="96">
        <v>16</v>
      </c>
      <c r="B19" s="113" t="s">
        <v>70</v>
      </c>
      <c r="C19" s="119">
        <v>9732828</v>
      </c>
      <c r="D19" s="117" t="s">
        <v>339</v>
      </c>
      <c r="E19" s="99">
        <v>43878</v>
      </c>
      <c r="F19" s="96" t="s">
        <v>21</v>
      </c>
      <c r="G19" s="96" t="s">
        <v>10</v>
      </c>
      <c r="H19" s="96">
        <v>4.5599999999999996</v>
      </c>
      <c r="I19" s="96" t="s">
        <v>322</v>
      </c>
      <c r="J19" s="96">
        <v>2</v>
      </c>
      <c r="K19" s="97" t="s">
        <v>320</v>
      </c>
      <c r="L19" s="117"/>
    </row>
    <row r="20" spans="1:12" x14ac:dyDescent="0.2">
      <c r="A20" s="96">
        <v>17</v>
      </c>
      <c r="B20" s="113" t="s">
        <v>70</v>
      </c>
      <c r="C20" s="96">
        <v>66920157</v>
      </c>
      <c r="D20" s="113" t="s">
        <v>340</v>
      </c>
      <c r="E20" s="116">
        <v>39660</v>
      </c>
      <c r="F20" s="96" t="s">
        <v>21</v>
      </c>
      <c r="G20" s="96" t="s">
        <v>10</v>
      </c>
      <c r="H20" s="96">
        <v>4.84</v>
      </c>
      <c r="I20" s="96" t="s">
        <v>323</v>
      </c>
      <c r="J20" s="96">
        <v>2</v>
      </c>
      <c r="K20" s="97" t="s">
        <v>320</v>
      </c>
      <c r="L20" s="117"/>
    </row>
    <row r="21" spans="1:12" x14ac:dyDescent="0.2">
      <c r="A21" s="96">
        <v>18</v>
      </c>
      <c r="B21" s="113" t="s">
        <v>70</v>
      </c>
      <c r="C21" s="96">
        <v>89006379</v>
      </c>
      <c r="D21" s="113" t="s">
        <v>341</v>
      </c>
      <c r="E21" s="116">
        <v>38027</v>
      </c>
      <c r="F21" s="96" t="s">
        <v>21</v>
      </c>
      <c r="G21" s="96" t="s">
        <v>11</v>
      </c>
      <c r="H21" s="127">
        <v>4.55</v>
      </c>
      <c r="I21" s="96" t="s">
        <v>326</v>
      </c>
      <c r="J21" s="96">
        <v>2</v>
      </c>
      <c r="K21" s="97" t="s">
        <v>320</v>
      </c>
      <c r="L21" s="117"/>
    </row>
    <row r="22" spans="1:12" ht="25.5" x14ac:dyDescent="0.2">
      <c r="A22" s="120">
        <v>19</v>
      </c>
      <c r="B22" s="121" t="s">
        <v>70</v>
      </c>
      <c r="C22" s="120">
        <v>24675452</v>
      </c>
      <c r="D22" s="122" t="s">
        <v>342</v>
      </c>
      <c r="E22" s="128">
        <v>42955</v>
      </c>
      <c r="F22" s="120" t="s">
        <v>17</v>
      </c>
      <c r="G22" s="120" t="s">
        <v>22</v>
      </c>
      <c r="H22" s="129">
        <v>5</v>
      </c>
      <c r="I22" s="120" t="s">
        <v>323</v>
      </c>
      <c r="J22" s="120">
        <v>2</v>
      </c>
      <c r="K22" s="124" t="s">
        <v>331</v>
      </c>
      <c r="L22" s="121" t="s">
        <v>343</v>
      </c>
    </row>
    <row r="23" spans="1:12" x14ac:dyDescent="0.2">
      <c r="A23" s="96">
        <v>20</v>
      </c>
      <c r="B23" s="113" t="s">
        <v>70</v>
      </c>
      <c r="C23" s="114">
        <v>89006235</v>
      </c>
      <c r="D23" s="115" t="s">
        <v>344</v>
      </c>
      <c r="E23" s="126">
        <v>45028</v>
      </c>
      <c r="F23" s="114" t="s">
        <v>17</v>
      </c>
      <c r="G23" s="96" t="s">
        <v>22</v>
      </c>
      <c r="H23" s="127">
        <v>4.8899999999999997</v>
      </c>
      <c r="I23" s="96" t="s">
        <v>326</v>
      </c>
      <c r="J23" s="96">
        <v>2</v>
      </c>
      <c r="K23" s="97" t="s">
        <v>320</v>
      </c>
      <c r="L23" s="117"/>
    </row>
    <row r="24" spans="1:12" x14ac:dyDescent="0.2">
      <c r="A24" s="96">
        <v>21</v>
      </c>
      <c r="B24" s="113" t="s">
        <v>70</v>
      </c>
      <c r="C24" s="96">
        <v>66736378</v>
      </c>
      <c r="D24" s="113" t="s">
        <v>103</v>
      </c>
      <c r="E24" s="116">
        <v>39142</v>
      </c>
      <c r="F24" s="96" t="s">
        <v>21</v>
      </c>
      <c r="G24" s="96" t="s">
        <v>11</v>
      </c>
      <c r="H24" s="125">
        <v>4.7</v>
      </c>
      <c r="I24" s="96" t="s">
        <v>327</v>
      </c>
      <c r="J24" s="96">
        <v>2</v>
      </c>
      <c r="K24" s="97" t="s">
        <v>320</v>
      </c>
      <c r="L24" s="117"/>
    </row>
    <row r="25" spans="1:12" x14ac:dyDescent="0.2">
      <c r="A25" s="96">
        <v>22</v>
      </c>
      <c r="B25" s="113" t="s">
        <v>70</v>
      </c>
      <c r="C25" s="119">
        <v>41935619</v>
      </c>
      <c r="D25" s="113" t="s">
        <v>345</v>
      </c>
      <c r="E25" s="99">
        <v>42955</v>
      </c>
      <c r="F25" s="96" t="s">
        <v>21</v>
      </c>
      <c r="G25" s="96" t="s">
        <v>22</v>
      </c>
      <c r="H25" s="96">
        <v>4.8499999999999996</v>
      </c>
      <c r="I25" s="96" t="s">
        <v>335</v>
      </c>
      <c r="J25" s="96">
        <v>2</v>
      </c>
      <c r="K25" s="97" t="s">
        <v>320</v>
      </c>
      <c r="L25" s="117"/>
    </row>
    <row r="26" spans="1:12" x14ac:dyDescent="0.2">
      <c r="A26" s="96">
        <v>23</v>
      </c>
      <c r="B26" s="113" t="s">
        <v>70</v>
      </c>
      <c r="C26" s="96">
        <v>79400867</v>
      </c>
      <c r="D26" s="113" t="s">
        <v>104</v>
      </c>
      <c r="E26" s="116">
        <v>41436</v>
      </c>
      <c r="F26" s="96" t="s">
        <v>21</v>
      </c>
      <c r="G26" s="96" t="s">
        <v>22</v>
      </c>
      <c r="H26" s="96">
        <v>4.8899999999999997</v>
      </c>
      <c r="I26" s="96" t="s">
        <v>323</v>
      </c>
      <c r="J26" s="96">
        <v>2</v>
      </c>
      <c r="K26" s="97" t="s">
        <v>320</v>
      </c>
      <c r="L26" s="117"/>
    </row>
    <row r="27" spans="1:12" x14ac:dyDescent="0.2">
      <c r="A27" s="96">
        <v>24</v>
      </c>
      <c r="B27" s="113" t="s">
        <v>70</v>
      </c>
      <c r="C27" s="96">
        <v>7535130</v>
      </c>
      <c r="D27" s="113" t="s">
        <v>346</v>
      </c>
      <c r="E27" s="116">
        <v>34178</v>
      </c>
      <c r="F27" s="96" t="s">
        <v>21</v>
      </c>
      <c r="G27" s="96" t="s">
        <v>11</v>
      </c>
      <c r="H27" s="96">
        <v>3.65</v>
      </c>
      <c r="I27" s="96" t="s">
        <v>338</v>
      </c>
      <c r="J27" s="96">
        <v>1.2</v>
      </c>
      <c r="K27" s="97" t="s">
        <v>320</v>
      </c>
      <c r="L27" s="117"/>
    </row>
    <row r="28" spans="1:12" x14ac:dyDescent="0.2">
      <c r="A28" s="96">
        <v>25</v>
      </c>
      <c r="B28" s="113" t="s">
        <v>70</v>
      </c>
      <c r="C28" s="96">
        <v>41922237</v>
      </c>
      <c r="D28" s="113" t="s">
        <v>347</v>
      </c>
      <c r="E28" s="116">
        <v>40203</v>
      </c>
      <c r="F28" s="96" t="s">
        <v>17</v>
      </c>
      <c r="G28" s="96" t="s">
        <v>10</v>
      </c>
      <c r="H28" s="96">
        <v>4.8099999999999996</v>
      </c>
      <c r="I28" s="96" t="s">
        <v>327</v>
      </c>
      <c r="J28" s="96">
        <v>2</v>
      </c>
      <c r="K28" s="97" t="s">
        <v>320</v>
      </c>
      <c r="L28" s="117"/>
    </row>
    <row r="29" spans="1:12" x14ac:dyDescent="0.2">
      <c r="A29" s="96">
        <v>26</v>
      </c>
      <c r="B29" s="113" t="s">
        <v>70</v>
      </c>
      <c r="C29" s="119">
        <v>25283616</v>
      </c>
      <c r="D29" s="117" t="s">
        <v>105</v>
      </c>
      <c r="E29" s="99">
        <v>43864</v>
      </c>
      <c r="F29" s="96" t="s">
        <v>21</v>
      </c>
      <c r="G29" s="96" t="s">
        <v>10</v>
      </c>
      <c r="H29" s="96">
        <v>4.91</v>
      </c>
      <c r="I29" s="96" t="s">
        <v>323</v>
      </c>
      <c r="J29" s="96">
        <v>2</v>
      </c>
      <c r="K29" s="97" t="s">
        <v>320</v>
      </c>
      <c r="L29" s="117"/>
    </row>
    <row r="30" spans="1:12" x14ac:dyDescent="0.2">
      <c r="A30" s="96">
        <v>27</v>
      </c>
      <c r="B30" s="113" t="s">
        <v>70</v>
      </c>
      <c r="C30" s="96">
        <v>94378416</v>
      </c>
      <c r="D30" s="113" t="s">
        <v>106</v>
      </c>
      <c r="E30" s="116">
        <v>41436</v>
      </c>
      <c r="F30" s="96" t="s">
        <v>21</v>
      </c>
      <c r="G30" s="96" t="s">
        <v>11</v>
      </c>
      <c r="H30" s="96">
        <v>4.92</v>
      </c>
      <c r="I30" s="96" t="s">
        <v>338</v>
      </c>
      <c r="J30" s="96">
        <v>2</v>
      </c>
      <c r="K30" s="97" t="s">
        <v>320</v>
      </c>
      <c r="L30" s="117"/>
    </row>
    <row r="31" spans="1:12" ht="38.25" x14ac:dyDescent="0.2">
      <c r="A31" s="96">
        <v>28</v>
      </c>
      <c r="B31" s="117" t="s">
        <v>348</v>
      </c>
      <c r="C31" s="96">
        <v>41942253</v>
      </c>
      <c r="D31" s="113" t="s">
        <v>349</v>
      </c>
      <c r="E31" s="99">
        <v>41872</v>
      </c>
      <c r="F31" s="96" t="s">
        <v>21</v>
      </c>
      <c r="G31" s="96" t="s">
        <v>11</v>
      </c>
      <c r="H31" s="127">
        <v>4.9400000000000004</v>
      </c>
      <c r="I31" s="127" t="s">
        <v>322</v>
      </c>
      <c r="J31" s="96">
        <v>2</v>
      </c>
      <c r="K31" s="97" t="s">
        <v>320</v>
      </c>
      <c r="L31" s="117"/>
    </row>
    <row r="32" spans="1:12" ht="38.25" x14ac:dyDescent="0.2">
      <c r="A32" s="96">
        <v>29</v>
      </c>
      <c r="B32" s="117" t="s">
        <v>348</v>
      </c>
      <c r="C32" s="130">
        <v>1094878677</v>
      </c>
      <c r="D32" s="115" t="s">
        <v>107</v>
      </c>
      <c r="E32" s="126">
        <v>45091</v>
      </c>
      <c r="F32" s="114" t="s">
        <v>17</v>
      </c>
      <c r="G32" s="96" t="s">
        <v>22</v>
      </c>
      <c r="H32" s="127">
        <v>4.95</v>
      </c>
      <c r="I32" s="96" t="s">
        <v>326</v>
      </c>
      <c r="J32" s="96">
        <v>2</v>
      </c>
      <c r="K32" s="97" t="s">
        <v>320</v>
      </c>
      <c r="L32" s="117"/>
    </row>
    <row r="33" spans="1:12" ht="38.25" x14ac:dyDescent="0.2">
      <c r="A33" s="96">
        <v>30</v>
      </c>
      <c r="B33" s="117" t="s">
        <v>348</v>
      </c>
      <c r="C33" s="130">
        <v>41955076</v>
      </c>
      <c r="D33" s="115" t="s">
        <v>350</v>
      </c>
      <c r="E33" s="126">
        <v>45078</v>
      </c>
      <c r="F33" s="114" t="s">
        <v>17</v>
      </c>
      <c r="G33" s="96" t="s">
        <v>59</v>
      </c>
      <c r="H33" s="127">
        <v>4.9400000000000004</v>
      </c>
      <c r="I33" s="96" t="s">
        <v>326</v>
      </c>
      <c r="J33" s="96">
        <v>2</v>
      </c>
      <c r="K33" s="97" t="s">
        <v>320</v>
      </c>
      <c r="L33" s="117"/>
    </row>
    <row r="34" spans="1:12" x14ac:dyDescent="0.2">
      <c r="A34" s="96">
        <v>31</v>
      </c>
      <c r="B34" s="117" t="s">
        <v>108</v>
      </c>
      <c r="C34" s="96">
        <v>75064983</v>
      </c>
      <c r="D34" s="113" t="s">
        <v>351</v>
      </c>
      <c r="E34" s="116">
        <v>40392</v>
      </c>
      <c r="F34" s="96" t="s">
        <v>21</v>
      </c>
      <c r="G34" s="96" t="s">
        <v>11</v>
      </c>
      <c r="H34" s="96">
        <v>4.84</v>
      </c>
      <c r="I34" s="96" t="s">
        <v>323</v>
      </c>
      <c r="J34" s="96">
        <v>2</v>
      </c>
      <c r="K34" s="97" t="s">
        <v>320</v>
      </c>
      <c r="L34" s="113"/>
    </row>
    <row r="35" spans="1:12" x14ac:dyDescent="0.2">
      <c r="A35" s="131">
        <v>32</v>
      </c>
      <c r="B35" s="132" t="s">
        <v>108</v>
      </c>
      <c r="C35" s="131">
        <v>25156982</v>
      </c>
      <c r="D35" s="133" t="s">
        <v>352</v>
      </c>
      <c r="E35" s="134">
        <v>39664</v>
      </c>
      <c r="F35" s="131" t="s">
        <v>17</v>
      </c>
      <c r="G35" s="131" t="s">
        <v>11</v>
      </c>
      <c r="H35" s="131">
        <v>4.8499999999999996</v>
      </c>
      <c r="I35" s="131" t="s">
        <v>353</v>
      </c>
      <c r="J35" s="131">
        <v>2</v>
      </c>
      <c r="K35" s="135" t="s">
        <v>320</v>
      </c>
      <c r="L35" s="132" t="s">
        <v>354</v>
      </c>
    </row>
    <row r="36" spans="1:12" x14ac:dyDescent="0.2">
      <c r="A36" s="96">
        <v>33</v>
      </c>
      <c r="B36" s="117" t="s">
        <v>108</v>
      </c>
      <c r="C36" s="96">
        <v>70081587</v>
      </c>
      <c r="D36" s="113" t="s">
        <v>355</v>
      </c>
      <c r="E36" s="116">
        <v>34171</v>
      </c>
      <c r="F36" s="96" t="s">
        <v>21</v>
      </c>
      <c r="G36" s="96" t="s">
        <v>11</v>
      </c>
      <c r="H36" s="125">
        <v>3.9</v>
      </c>
      <c r="I36" s="96" t="s">
        <v>327</v>
      </c>
      <c r="J36" s="96">
        <v>1.6</v>
      </c>
      <c r="K36" s="97" t="s">
        <v>320</v>
      </c>
      <c r="L36" s="117"/>
    </row>
    <row r="37" spans="1:12" x14ac:dyDescent="0.2">
      <c r="A37" s="96">
        <v>34</v>
      </c>
      <c r="B37" s="117" t="s">
        <v>108</v>
      </c>
      <c r="C37" s="97">
        <v>52070041</v>
      </c>
      <c r="D37" s="117" t="s">
        <v>356</v>
      </c>
      <c r="E37" s="99">
        <v>38803</v>
      </c>
      <c r="F37" s="97" t="s">
        <v>21</v>
      </c>
      <c r="G37" s="97" t="s">
        <v>11</v>
      </c>
      <c r="H37" s="97">
        <v>4.5999999999999996</v>
      </c>
      <c r="I37" s="97" t="s">
        <v>353</v>
      </c>
      <c r="J37" s="96">
        <v>2</v>
      </c>
      <c r="K37" s="97" t="s">
        <v>320</v>
      </c>
      <c r="L37" s="117"/>
    </row>
    <row r="38" spans="1:12" x14ac:dyDescent="0.2">
      <c r="A38" s="96">
        <v>35</v>
      </c>
      <c r="B38" s="117" t="s">
        <v>108</v>
      </c>
      <c r="C38" s="119">
        <v>93357542</v>
      </c>
      <c r="D38" s="136" t="s">
        <v>357</v>
      </c>
      <c r="E38" s="116">
        <v>41673</v>
      </c>
      <c r="F38" s="96" t="s">
        <v>21</v>
      </c>
      <c r="G38" s="96" t="s">
        <v>11</v>
      </c>
      <c r="H38" s="96">
        <v>4.01</v>
      </c>
      <c r="I38" s="96" t="s">
        <v>358</v>
      </c>
      <c r="J38" s="96">
        <v>1.6</v>
      </c>
      <c r="K38" s="97" t="s">
        <v>320</v>
      </c>
      <c r="L38" s="117"/>
    </row>
    <row r="39" spans="1:12" x14ac:dyDescent="0.2">
      <c r="A39" s="96">
        <v>36</v>
      </c>
      <c r="B39" s="117" t="s">
        <v>108</v>
      </c>
      <c r="C39" s="119">
        <v>25213746</v>
      </c>
      <c r="D39" s="136" t="s">
        <v>359</v>
      </c>
      <c r="E39" s="99">
        <v>42955</v>
      </c>
      <c r="F39" s="96" t="s">
        <v>21</v>
      </c>
      <c r="G39" s="96" t="s">
        <v>10</v>
      </c>
      <c r="H39" s="125">
        <v>4.9000000000000004</v>
      </c>
      <c r="I39" s="96" t="s">
        <v>360</v>
      </c>
      <c r="J39" s="96">
        <v>2</v>
      </c>
      <c r="K39" s="97" t="s">
        <v>320</v>
      </c>
      <c r="L39" s="117"/>
    </row>
    <row r="40" spans="1:12" x14ac:dyDescent="0.2">
      <c r="A40" s="96">
        <v>37</v>
      </c>
      <c r="B40" s="117" t="s">
        <v>108</v>
      </c>
      <c r="C40" s="114">
        <v>89004182</v>
      </c>
      <c r="D40" s="115" t="s">
        <v>361</v>
      </c>
      <c r="E40" s="126">
        <v>44963</v>
      </c>
      <c r="F40" s="114" t="s">
        <v>21</v>
      </c>
      <c r="G40" s="96" t="s">
        <v>22</v>
      </c>
      <c r="H40" s="127">
        <v>4.92</v>
      </c>
      <c r="I40" s="96" t="s">
        <v>322</v>
      </c>
      <c r="J40" s="96">
        <v>2</v>
      </c>
      <c r="K40" s="97" t="s">
        <v>320</v>
      </c>
      <c r="L40" s="117"/>
    </row>
    <row r="41" spans="1:12" x14ac:dyDescent="0.2">
      <c r="A41" s="96">
        <v>38</v>
      </c>
      <c r="B41" s="117" t="s">
        <v>108</v>
      </c>
      <c r="C41" s="96">
        <v>89009806</v>
      </c>
      <c r="D41" s="113" t="s">
        <v>362</v>
      </c>
      <c r="E41" s="116">
        <v>40392</v>
      </c>
      <c r="F41" s="96" t="s">
        <v>17</v>
      </c>
      <c r="G41" s="96" t="s">
        <v>22</v>
      </c>
      <c r="H41" s="96">
        <v>4.8099999999999996</v>
      </c>
      <c r="I41" s="96" t="s">
        <v>323</v>
      </c>
      <c r="J41" s="96">
        <v>2</v>
      </c>
      <c r="K41" s="97" t="s">
        <v>320</v>
      </c>
      <c r="L41" s="117"/>
    </row>
    <row r="42" spans="1:12" x14ac:dyDescent="0.2">
      <c r="A42" s="96">
        <v>39</v>
      </c>
      <c r="B42" s="113" t="s">
        <v>64</v>
      </c>
      <c r="C42" s="96">
        <v>41913187</v>
      </c>
      <c r="D42" s="113" t="s">
        <v>363</v>
      </c>
      <c r="E42" s="99">
        <v>42955</v>
      </c>
      <c r="F42" s="96" t="s">
        <v>17</v>
      </c>
      <c r="G42" s="96" t="s">
        <v>10</v>
      </c>
      <c r="H42" s="96">
        <v>4.91</v>
      </c>
      <c r="I42" s="96" t="s">
        <v>326</v>
      </c>
      <c r="J42" s="96">
        <v>2</v>
      </c>
      <c r="K42" s="97" t="s">
        <v>320</v>
      </c>
      <c r="L42" s="117"/>
    </row>
    <row r="43" spans="1:12" x14ac:dyDescent="0.2">
      <c r="A43" s="96">
        <v>40</v>
      </c>
      <c r="B43" s="113" t="s">
        <v>64</v>
      </c>
      <c r="C43" s="96">
        <v>7542144</v>
      </c>
      <c r="D43" s="113" t="s">
        <v>364</v>
      </c>
      <c r="E43" s="116">
        <v>38055</v>
      </c>
      <c r="F43" s="96" t="s">
        <v>17</v>
      </c>
      <c r="G43" s="96" t="s">
        <v>10</v>
      </c>
      <c r="H43" s="125">
        <v>4.9000000000000004</v>
      </c>
      <c r="I43" s="97" t="s">
        <v>323</v>
      </c>
      <c r="J43" s="96">
        <v>2</v>
      </c>
      <c r="K43" s="97" t="s">
        <v>320</v>
      </c>
      <c r="L43" s="117"/>
    </row>
    <row r="44" spans="1:12" x14ac:dyDescent="0.2">
      <c r="A44" s="96">
        <v>41</v>
      </c>
      <c r="B44" s="113" t="s">
        <v>64</v>
      </c>
      <c r="C44" s="96">
        <v>41943016</v>
      </c>
      <c r="D44" s="113" t="s">
        <v>365</v>
      </c>
      <c r="E44" s="116">
        <v>39329</v>
      </c>
      <c r="F44" s="96" t="s">
        <v>21</v>
      </c>
      <c r="G44" s="96" t="s">
        <v>22</v>
      </c>
      <c r="H44" s="96">
        <v>4.67</v>
      </c>
      <c r="I44" s="96" t="s">
        <v>335</v>
      </c>
      <c r="J44" s="96">
        <v>2</v>
      </c>
      <c r="K44" s="97" t="s">
        <v>320</v>
      </c>
      <c r="L44" s="117"/>
    </row>
    <row r="45" spans="1:12" x14ac:dyDescent="0.2">
      <c r="A45" s="96">
        <v>42</v>
      </c>
      <c r="B45" s="113" t="s">
        <v>64</v>
      </c>
      <c r="C45" s="119">
        <v>18390106</v>
      </c>
      <c r="D45" s="117" t="s">
        <v>109</v>
      </c>
      <c r="E45" s="99">
        <v>43864</v>
      </c>
      <c r="F45" s="96" t="s">
        <v>17</v>
      </c>
      <c r="G45" s="96" t="s">
        <v>10</v>
      </c>
      <c r="H45" s="125">
        <v>4.82</v>
      </c>
      <c r="I45" s="97" t="s">
        <v>323</v>
      </c>
      <c r="J45" s="96">
        <v>2</v>
      </c>
      <c r="K45" s="97" t="s">
        <v>320</v>
      </c>
      <c r="L45" s="117"/>
    </row>
    <row r="46" spans="1:12" x14ac:dyDescent="0.2">
      <c r="A46" s="96">
        <v>43</v>
      </c>
      <c r="B46" s="113" t="s">
        <v>64</v>
      </c>
      <c r="C46" s="119">
        <v>24580502</v>
      </c>
      <c r="D46" s="113" t="s">
        <v>366</v>
      </c>
      <c r="E46" s="99">
        <v>42955</v>
      </c>
      <c r="F46" s="96" t="s">
        <v>17</v>
      </c>
      <c r="G46" s="96" t="s">
        <v>11</v>
      </c>
      <c r="H46" s="96">
        <v>4.79</v>
      </c>
      <c r="I46" s="96" t="s">
        <v>335</v>
      </c>
      <c r="J46" s="96">
        <v>2</v>
      </c>
      <c r="K46" s="97" t="s">
        <v>320</v>
      </c>
      <c r="L46" s="117"/>
    </row>
    <row r="47" spans="1:12" x14ac:dyDescent="0.2">
      <c r="A47" s="96">
        <v>44</v>
      </c>
      <c r="B47" s="113" t="s">
        <v>64</v>
      </c>
      <c r="C47" s="96">
        <v>24580998</v>
      </c>
      <c r="D47" s="113" t="s">
        <v>367</v>
      </c>
      <c r="E47" s="116">
        <v>39660</v>
      </c>
      <c r="F47" s="96" t="s">
        <v>17</v>
      </c>
      <c r="G47" s="96" t="s">
        <v>10</v>
      </c>
      <c r="H47" s="125">
        <v>4.9400000000000004</v>
      </c>
      <c r="I47" s="97" t="s">
        <v>323</v>
      </c>
      <c r="J47" s="96">
        <v>2</v>
      </c>
      <c r="K47" s="97" t="s">
        <v>320</v>
      </c>
      <c r="L47" s="117"/>
    </row>
    <row r="48" spans="1:12" x14ac:dyDescent="0.2">
      <c r="A48" s="96">
        <v>45</v>
      </c>
      <c r="B48" s="113" t="s">
        <v>64</v>
      </c>
      <c r="C48" s="96">
        <v>7528464</v>
      </c>
      <c r="D48" s="113" t="s">
        <v>368</v>
      </c>
      <c r="E48" s="116">
        <v>34974</v>
      </c>
      <c r="F48" s="96" t="s">
        <v>17</v>
      </c>
      <c r="G48" s="96" t="s">
        <v>10</v>
      </c>
      <c r="H48" s="96">
        <v>4.62</v>
      </c>
      <c r="I48" s="96" t="s">
        <v>335</v>
      </c>
      <c r="J48" s="96">
        <v>2</v>
      </c>
      <c r="K48" s="97" t="s">
        <v>320</v>
      </c>
      <c r="L48" s="117"/>
    </row>
    <row r="49" spans="1:12" x14ac:dyDescent="0.2">
      <c r="A49" s="96">
        <v>46</v>
      </c>
      <c r="B49" s="113" t="s">
        <v>64</v>
      </c>
      <c r="C49" s="96">
        <v>24573858</v>
      </c>
      <c r="D49" s="113" t="s">
        <v>369</v>
      </c>
      <c r="E49" s="116">
        <v>34375</v>
      </c>
      <c r="F49" s="96" t="s">
        <v>17</v>
      </c>
      <c r="G49" s="96" t="s">
        <v>11</v>
      </c>
      <c r="H49" s="96">
        <v>4.7699999999999996</v>
      </c>
      <c r="I49" s="96" t="s">
        <v>335</v>
      </c>
      <c r="J49" s="96">
        <v>2</v>
      </c>
      <c r="K49" s="97" t="s">
        <v>320</v>
      </c>
      <c r="L49" s="117"/>
    </row>
    <row r="50" spans="1:12" ht="25.5" x14ac:dyDescent="0.2">
      <c r="A50" s="96">
        <v>47</v>
      </c>
      <c r="B50" s="113" t="s">
        <v>64</v>
      </c>
      <c r="C50" s="119">
        <v>29327038</v>
      </c>
      <c r="D50" s="113" t="s">
        <v>370</v>
      </c>
      <c r="E50" s="99">
        <v>42955</v>
      </c>
      <c r="F50" s="96" t="s">
        <v>17</v>
      </c>
      <c r="G50" s="96" t="s">
        <v>10</v>
      </c>
      <c r="H50" s="125">
        <v>4.75</v>
      </c>
      <c r="I50" s="97" t="s">
        <v>323</v>
      </c>
      <c r="J50" s="96">
        <v>2</v>
      </c>
      <c r="K50" s="97" t="s">
        <v>320</v>
      </c>
      <c r="L50" s="117" t="s">
        <v>371</v>
      </c>
    </row>
    <row r="51" spans="1:12" x14ac:dyDescent="0.2">
      <c r="A51" s="96">
        <v>48</v>
      </c>
      <c r="B51" s="113" t="s">
        <v>64</v>
      </c>
      <c r="C51" s="96">
        <v>41935858</v>
      </c>
      <c r="D51" s="113" t="s">
        <v>372</v>
      </c>
      <c r="E51" s="116">
        <v>40947</v>
      </c>
      <c r="F51" s="96" t="s">
        <v>17</v>
      </c>
      <c r="G51" s="96" t="s">
        <v>10</v>
      </c>
      <c r="H51" s="96">
        <v>4.93</v>
      </c>
      <c r="I51" s="96" t="s">
        <v>335</v>
      </c>
      <c r="J51" s="96">
        <v>2</v>
      </c>
      <c r="K51" s="97" t="s">
        <v>320</v>
      </c>
      <c r="L51" s="117"/>
    </row>
    <row r="52" spans="1:12" x14ac:dyDescent="0.2">
      <c r="A52" s="96">
        <v>49</v>
      </c>
      <c r="B52" s="113" t="s">
        <v>64</v>
      </c>
      <c r="C52" s="119">
        <v>41913005</v>
      </c>
      <c r="D52" s="113" t="s">
        <v>373</v>
      </c>
      <c r="E52" s="99">
        <v>42955</v>
      </c>
      <c r="F52" s="96" t="s">
        <v>17</v>
      </c>
      <c r="G52" s="96" t="s">
        <v>11</v>
      </c>
      <c r="H52" s="96">
        <v>4.8099999999999996</v>
      </c>
      <c r="I52" s="96" t="s">
        <v>335</v>
      </c>
      <c r="J52" s="96">
        <v>2</v>
      </c>
      <c r="K52" s="97" t="s">
        <v>320</v>
      </c>
      <c r="L52" s="117"/>
    </row>
    <row r="53" spans="1:12" x14ac:dyDescent="0.2">
      <c r="A53" s="96">
        <v>50</v>
      </c>
      <c r="B53" s="113" t="s">
        <v>64</v>
      </c>
      <c r="C53" s="96">
        <v>89000779</v>
      </c>
      <c r="D53" s="113" t="s">
        <v>374</v>
      </c>
      <c r="E53" s="116">
        <v>38777</v>
      </c>
      <c r="F53" s="96" t="s">
        <v>21</v>
      </c>
      <c r="G53" s="96" t="s">
        <v>11</v>
      </c>
      <c r="H53" s="96">
        <v>4.92</v>
      </c>
      <c r="I53" s="96" t="s">
        <v>335</v>
      </c>
      <c r="J53" s="96">
        <v>2</v>
      </c>
      <c r="K53" s="97" t="s">
        <v>320</v>
      </c>
      <c r="L53" s="117"/>
    </row>
    <row r="54" spans="1:12" x14ac:dyDescent="0.2">
      <c r="A54" s="96">
        <v>51</v>
      </c>
      <c r="B54" s="113" t="s">
        <v>64</v>
      </c>
      <c r="C54" s="96">
        <v>18385247</v>
      </c>
      <c r="D54" s="113" t="s">
        <v>375</v>
      </c>
      <c r="E54" s="116">
        <v>38027</v>
      </c>
      <c r="F54" s="96" t="s">
        <v>17</v>
      </c>
      <c r="G54" s="96" t="s">
        <v>11</v>
      </c>
      <c r="H54" s="96">
        <v>4.92</v>
      </c>
      <c r="I54" s="96" t="s">
        <v>335</v>
      </c>
      <c r="J54" s="96">
        <v>2</v>
      </c>
      <c r="K54" s="97" t="s">
        <v>320</v>
      </c>
      <c r="L54" s="117"/>
    </row>
    <row r="55" spans="1:12" x14ac:dyDescent="0.2">
      <c r="A55" s="96">
        <v>52</v>
      </c>
      <c r="B55" s="113" t="s">
        <v>64</v>
      </c>
      <c r="C55" s="96">
        <v>7537804</v>
      </c>
      <c r="D55" s="113" t="s">
        <v>376</v>
      </c>
      <c r="E55" s="116">
        <v>39660</v>
      </c>
      <c r="F55" s="96" t="s">
        <v>21</v>
      </c>
      <c r="G55" s="96" t="s">
        <v>11</v>
      </c>
      <c r="H55" s="96">
        <v>4.88</v>
      </c>
      <c r="I55" s="96" t="s">
        <v>338</v>
      </c>
      <c r="J55" s="96">
        <v>2</v>
      </c>
      <c r="K55" s="97" t="s">
        <v>320</v>
      </c>
      <c r="L55" s="117"/>
    </row>
    <row r="56" spans="1:12" x14ac:dyDescent="0.2">
      <c r="A56" s="96">
        <v>53</v>
      </c>
      <c r="B56" s="113" t="s">
        <v>64</v>
      </c>
      <c r="C56" s="96">
        <v>24478396</v>
      </c>
      <c r="D56" s="113" t="s">
        <v>377</v>
      </c>
      <c r="E56" s="116">
        <v>35828</v>
      </c>
      <c r="F56" s="96" t="s">
        <v>110</v>
      </c>
      <c r="G56" s="96" t="s">
        <v>11</v>
      </c>
      <c r="H56" s="125">
        <v>4.71</v>
      </c>
      <c r="I56" s="97" t="s">
        <v>323</v>
      </c>
      <c r="J56" s="96">
        <v>2</v>
      </c>
      <c r="K56" s="97" t="s">
        <v>320</v>
      </c>
      <c r="L56" s="117"/>
    </row>
    <row r="57" spans="1:12" ht="25.5" x14ac:dyDescent="0.2">
      <c r="A57" s="120">
        <v>54</v>
      </c>
      <c r="B57" s="122" t="s">
        <v>64</v>
      </c>
      <c r="C57" s="120">
        <v>328307</v>
      </c>
      <c r="D57" s="122" t="s">
        <v>378</v>
      </c>
      <c r="E57" s="123">
        <v>35828</v>
      </c>
      <c r="F57" s="120" t="s">
        <v>17</v>
      </c>
      <c r="G57" s="137" t="s">
        <v>22</v>
      </c>
      <c r="H57" s="138">
        <v>4.75</v>
      </c>
      <c r="I57" s="124" t="s">
        <v>323</v>
      </c>
      <c r="J57" s="120">
        <v>2</v>
      </c>
      <c r="K57" s="124" t="s">
        <v>331</v>
      </c>
      <c r="L57" s="121" t="s">
        <v>379</v>
      </c>
    </row>
    <row r="58" spans="1:12" x14ac:dyDescent="0.2">
      <c r="A58" s="96">
        <v>55</v>
      </c>
      <c r="B58" s="113" t="s">
        <v>64</v>
      </c>
      <c r="C58" s="96">
        <v>98380743</v>
      </c>
      <c r="D58" s="113" t="s">
        <v>380</v>
      </c>
      <c r="E58" s="116">
        <v>38779</v>
      </c>
      <c r="F58" s="96" t="s">
        <v>21</v>
      </c>
      <c r="G58" s="96" t="s">
        <v>11</v>
      </c>
      <c r="H58" s="125">
        <v>4.8600000000000003</v>
      </c>
      <c r="I58" s="97" t="s">
        <v>323</v>
      </c>
      <c r="J58" s="96">
        <v>2</v>
      </c>
      <c r="K58" s="97" t="s">
        <v>320</v>
      </c>
      <c r="L58" s="117"/>
    </row>
    <row r="59" spans="1:12" x14ac:dyDescent="0.2">
      <c r="A59" s="131">
        <v>56</v>
      </c>
      <c r="B59" s="133" t="s">
        <v>64</v>
      </c>
      <c r="C59" s="139">
        <v>42086202</v>
      </c>
      <c r="D59" s="133" t="s">
        <v>111</v>
      </c>
      <c r="E59" s="140">
        <v>42955</v>
      </c>
      <c r="F59" s="131" t="s">
        <v>17</v>
      </c>
      <c r="G59" s="131" t="s">
        <v>11</v>
      </c>
      <c r="H59" s="131">
        <v>4.8899999999999997</v>
      </c>
      <c r="I59" s="131" t="s">
        <v>326</v>
      </c>
      <c r="J59" s="131">
        <v>2</v>
      </c>
      <c r="K59" s="135" t="s">
        <v>320</v>
      </c>
      <c r="L59" s="132" t="s">
        <v>354</v>
      </c>
    </row>
    <row r="60" spans="1:12" x14ac:dyDescent="0.2">
      <c r="A60" s="96">
        <v>57</v>
      </c>
      <c r="B60" s="113" t="s">
        <v>64</v>
      </c>
      <c r="C60" s="130">
        <v>9728326</v>
      </c>
      <c r="D60" s="115" t="s">
        <v>381</v>
      </c>
      <c r="E60" s="126">
        <v>44963</v>
      </c>
      <c r="F60" s="96" t="s">
        <v>17</v>
      </c>
      <c r="G60" s="96" t="s">
        <v>22</v>
      </c>
      <c r="H60" s="127">
        <v>4.83</v>
      </c>
      <c r="I60" s="127" t="s">
        <v>322</v>
      </c>
      <c r="J60" s="96">
        <v>2</v>
      </c>
      <c r="K60" s="97" t="s">
        <v>320</v>
      </c>
      <c r="L60" s="117"/>
    </row>
    <row r="61" spans="1:12" x14ac:dyDescent="0.2">
      <c r="A61" s="96">
        <v>58</v>
      </c>
      <c r="B61" s="113" t="s">
        <v>112</v>
      </c>
      <c r="C61" s="96">
        <v>1094914627</v>
      </c>
      <c r="D61" s="113" t="s">
        <v>382</v>
      </c>
      <c r="E61" s="116">
        <v>45323</v>
      </c>
      <c r="F61" s="96" t="s">
        <v>17</v>
      </c>
      <c r="G61" s="96" t="s">
        <v>22</v>
      </c>
      <c r="H61" s="125">
        <v>4.9000000000000004</v>
      </c>
      <c r="I61" s="96" t="s">
        <v>335</v>
      </c>
      <c r="J61" s="96">
        <v>2</v>
      </c>
      <c r="K61" s="96" t="s">
        <v>320</v>
      </c>
      <c r="L61" s="117"/>
    </row>
    <row r="62" spans="1:12" x14ac:dyDescent="0.2">
      <c r="A62" s="96">
        <v>59</v>
      </c>
      <c r="B62" s="113" t="s">
        <v>112</v>
      </c>
      <c r="C62" s="114">
        <v>89000647</v>
      </c>
      <c r="D62" s="115" t="s">
        <v>383</v>
      </c>
      <c r="E62" s="126">
        <v>44963</v>
      </c>
      <c r="F62" s="96" t="s">
        <v>17</v>
      </c>
      <c r="G62" s="96" t="s">
        <v>22</v>
      </c>
      <c r="H62" s="125">
        <v>4.87</v>
      </c>
      <c r="I62" s="127" t="s">
        <v>322</v>
      </c>
      <c r="J62" s="96">
        <v>2</v>
      </c>
      <c r="K62" s="97" t="s">
        <v>320</v>
      </c>
      <c r="L62" s="117"/>
    </row>
    <row r="63" spans="1:12" x14ac:dyDescent="0.2">
      <c r="A63" s="96">
        <v>60</v>
      </c>
      <c r="B63" s="113" t="s">
        <v>112</v>
      </c>
      <c r="C63" s="96">
        <v>7523648</v>
      </c>
      <c r="D63" s="113" t="s">
        <v>384</v>
      </c>
      <c r="E63" s="116">
        <v>40392</v>
      </c>
      <c r="F63" s="96" t="s">
        <v>17</v>
      </c>
      <c r="G63" s="96" t="s">
        <v>10</v>
      </c>
      <c r="H63" s="127">
        <v>4.75</v>
      </c>
      <c r="I63" s="127" t="s">
        <v>322</v>
      </c>
      <c r="J63" s="96">
        <v>2</v>
      </c>
      <c r="K63" s="97" t="s">
        <v>320</v>
      </c>
      <c r="L63" s="117"/>
    </row>
    <row r="64" spans="1:12" ht="25.5" x14ac:dyDescent="0.2">
      <c r="A64" s="120">
        <v>61</v>
      </c>
      <c r="B64" s="122" t="s">
        <v>112</v>
      </c>
      <c r="C64" s="120">
        <v>36310363</v>
      </c>
      <c r="D64" s="122" t="s">
        <v>385</v>
      </c>
      <c r="E64" s="128">
        <v>42955</v>
      </c>
      <c r="F64" s="120" t="s">
        <v>17</v>
      </c>
      <c r="G64" s="120" t="s">
        <v>10</v>
      </c>
      <c r="H64" s="120">
        <v>4.71</v>
      </c>
      <c r="I64" s="120" t="s">
        <v>327</v>
      </c>
      <c r="J64" s="120">
        <v>2</v>
      </c>
      <c r="K64" s="124" t="s">
        <v>331</v>
      </c>
      <c r="L64" s="121" t="s">
        <v>113</v>
      </c>
    </row>
    <row r="65" spans="1:12" x14ac:dyDescent="0.2">
      <c r="A65" s="96">
        <v>62</v>
      </c>
      <c r="B65" s="113" t="s">
        <v>112</v>
      </c>
      <c r="C65" s="119">
        <v>15435040</v>
      </c>
      <c r="D65" s="113" t="s">
        <v>386</v>
      </c>
      <c r="E65" s="99">
        <v>41872</v>
      </c>
      <c r="F65" s="96" t="s">
        <v>21</v>
      </c>
      <c r="G65" s="96" t="s">
        <v>10</v>
      </c>
      <c r="H65" s="96">
        <v>4.12</v>
      </c>
      <c r="I65" s="96" t="s">
        <v>323</v>
      </c>
      <c r="J65" s="96">
        <v>1.6</v>
      </c>
      <c r="K65" s="97" t="s">
        <v>320</v>
      </c>
      <c r="L65" s="117"/>
    </row>
    <row r="66" spans="1:12" x14ac:dyDescent="0.2">
      <c r="A66" s="96">
        <v>63</v>
      </c>
      <c r="B66" s="113" t="s">
        <v>112</v>
      </c>
      <c r="C66" s="96">
        <v>52353956</v>
      </c>
      <c r="D66" s="113" t="s">
        <v>387</v>
      </c>
      <c r="E66" s="116">
        <v>41872</v>
      </c>
      <c r="F66" s="96" t="s">
        <v>17</v>
      </c>
      <c r="G66" s="96" t="s">
        <v>22</v>
      </c>
      <c r="H66" s="96">
        <v>4.71</v>
      </c>
      <c r="I66" s="96" t="s">
        <v>322</v>
      </c>
      <c r="J66" s="96">
        <v>2</v>
      </c>
      <c r="K66" s="96" t="s">
        <v>320</v>
      </c>
      <c r="L66" s="117"/>
    </row>
    <row r="67" spans="1:12" x14ac:dyDescent="0.2">
      <c r="A67" s="96">
        <v>64</v>
      </c>
      <c r="B67" s="113" t="s">
        <v>58</v>
      </c>
      <c r="C67" s="119">
        <v>30399579</v>
      </c>
      <c r="D67" s="113" t="s">
        <v>388</v>
      </c>
      <c r="E67" s="99">
        <v>42955</v>
      </c>
      <c r="F67" s="96" t="s">
        <v>17</v>
      </c>
      <c r="G67" s="96" t="s">
        <v>59</v>
      </c>
      <c r="H67" s="127">
        <v>4.8600000000000003</v>
      </c>
      <c r="I67" s="96" t="s">
        <v>323</v>
      </c>
      <c r="J67" s="96">
        <v>2</v>
      </c>
      <c r="K67" s="97" t="s">
        <v>320</v>
      </c>
      <c r="L67" s="117"/>
    </row>
    <row r="68" spans="1:12" x14ac:dyDescent="0.2">
      <c r="A68" s="96">
        <v>65</v>
      </c>
      <c r="B68" s="113" t="s">
        <v>58</v>
      </c>
      <c r="C68" s="114">
        <v>38794076</v>
      </c>
      <c r="D68" s="115" t="s">
        <v>389</v>
      </c>
      <c r="E68" s="126">
        <v>44967</v>
      </c>
      <c r="F68" s="114" t="s">
        <v>21</v>
      </c>
      <c r="G68" s="96" t="s">
        <v>22</v>
      </c>
      <c r="H68" s="127">
        <v>4.92</v>
      </c>
      <c r="I68" s="96" t="s">
        <v>323</v>
      </c>
      <c r="J68" s="96">
        <v>2</v>
      </c>
      <c r="K68" s="97" t="s">
        <v>320</v>
      </c>
      <c r="L68" s="117"/>
    </row>
    <row r="69" spans="1:12" x14ac:dyDescent="0.2">
      <c r="A69" s="96">
        <v>66</v>
      </c>
      <c r="B69" s="113" t="s">
        <v>58</v>
      </c>
      <c r="C69" s="119">
        <v>30320098</v>
      </c>
      <c r="D69" s="117" t="s">
        <v>390</v>
      </c>
      <c r="E69" s="99">
        <v>43864</v>
      </c>
      <c r="F69" s="96" t="s">
        <v>21</v>
      </c>
      <c r="G69" s="96" t="s">
        <v>10</v>
      </c>
      <c r="H69" s="97">
        <v>4.87</v>
      </c>
      <c r="I69" s="96" t="s">
        <v>335</v>
      </c>
      <c r="J69" s="96">
        <v>2</v>
      </c>
      <c r="K69" s="97" t="s">
        <v>320</v>
      </c>
      <c r="L69" s="117"/>
    </row>
    <row r="70" spans="1:12" x14ac:dyDescent="0.2">
      <c r="A70" s="96">
        <v>67</v>
      </c>
      <c r="B70" s="113" t="s">
        <v>58</v>
      </c>
      <c r="C70" s="96">
        <v>51802215</v>
      </c>
      <c r="D70" s="113" t="s">
        <v>391</v>
      </c>
      <c r="E70" s="116">
        <v>40947</v>
      </c>
      <c r="F70" s="96" t="s">
        <v>21</v>
      </c>
      <c r="G70" s="96" t="s">
        <v>11</v>
      </c>
      <c r="H70" s="127">
        <v>4.82</v>
      </c>
      <c r="I70" s="96" t="s">
        <v>323</v>
      </c>
      <c r="J70" s="96">
        <v>2</v>
      </c>
      <c r="K70" s="97" t="s">
        <v>320</v>
      </c>
      <c r="L70" s="117"/>
    </row>
    <row r="71" spans="1:12" x14ac:dyDescent="0.2">
      <c r="A71" s="131">
        <v>68</v>
      </c>
      <c r="B71" s="133" t="s">
        <v>58</v>
      </c>
      <c r="C71" s="131">
        <v>24571354</v>
      </c>
      <c r="D71" s="133" t="s">
        <v>392</v>
      </c>
      <c r="E71" s="134">
        <v>41313</v>
      </c>
      <c r="F71" s="131" t="s">
        <v>17</v>
      </c>
      <c r="G71" s="131" t="s">
        <v>10</v>
      </c>
      <c r="H71" s="141">
        <v>4.93</v>
      </c>
      <c r="I71" s="135" t="s">
        <v>335</v>
      </c>
      <c r="J71" s="131">
        <v>2</v>
      </c>
      <c r="K71" s="135" t="s">
        <v>320</v>
      </c>
      <c r="L71" s="132" t="s">
        <v>354</v>
      </c>
    </row>
    <row r="72" spans="1:12" ht="38.25" x14ac:dyDescent="0.2">
      <c r="A72" s="106">
        <v>69</v>
      </c>
      <c r="B72" s="107" t="s">
        <v>58</v>
      </c>
      <c r="C72" s="106">
        <v>24341881</v>
      </c>
      <c r="D72" s="107" t="s">
        <v>393</v>
      </c>
      <c r="E72" s="142">
        <v>40963</v>
      </c>
      <c r="F72" s="106" t="s">
        <v>17</v>
      </c>
      <c r="G72" s="106" t="s">
        <v>59</v>
      </c>
      <c r="H72" s="106">
        <v>4.75</v>
      </c>
      <c r="I72" s="106" t="s">
        <v>358</v>
      </c>
      <c r="J72" s="106">
        <v>2</v>
      </c>
      <c r="K72" s="106" t="s">
        <v>320</v>
      </c>
      <c r="L72" s="108" t="s">
        <v>394</v>
      </c>
    </row>
    <row r="73" spans="1:12" x14ac:dyDescent="0.2">
      <c r="A73" s="96">
        <v>70</v>
      </c>
      <c r="B73" s="113" t="s">
        <v>58</v>
      </c>
      <c r="C73" s="119">
        <v>1094897168</v>
      </c>
      <c r="D73" s="113" t="s">
        <v>395</v>
      </c>
      <c r="E73" s="99">
        <v>42955</v>
      </c>
      <c r="F73" s="96" t="s">
        <v>21</v>
      </c>
      <c r="G73" s="96" t="s">
        <v>22</v>
      </c>
      <c r="H73" s="127">
        <v>4.58</v>
      </c>
      <c r="I73" s="96" t="s">
        <v>323</v>
      </c>
      <c r="J73" s="96">
        <v>2</v>
      </c>
      <c r="K73" s="97" t="s">
        <v>320</v>
      </c>
      <c r="L73" s="117"/>
    </row>
    <row r="74" spans="1:12" ht="38.25" x14ac:dyDescent="0.2">
      <c r="A74" s="106">
        <v>71</v>
      </c>
      <c r="B74" s="107" t="s">
        <v>58</v>
      </c>
      <c r="C74" s="143">
        <v>46373917</v>
      </c>
      <c r="D74" s="108" t="s">
        <v>396</v>
      </c>
      <c r="E74" s="109">
        <v>43864</v>
      </c>
      <c r="F74" s="106" t="s">
        <v>17</v>
      </c>
      <c r="G74" s="106" t="s">
        <v>22</v>
      </c>
      <c r="H74" s="144">
        <v>4.78</v>
      </c>
      <c r="I74" s="106" t="s">
        <v>319</v>
      </c>
      <c r="J74" s="106">
        <v>2</v>
      </c>
      <c r="K74" s="110" t="s">
        <v>320</v>
      </c>
      <c r="L74" s="108" t="s">
        <v>397</v>
      </c>
    </row>
    <row r="75" spans="1:12" x14ac:dyDescent="0.2">
      <c r="A75" s="96">
        <v>72</v>
      </c>
      <c r="B75" s="113" t="s">
        <v>114</v>
      </c>
      <c r="C75" s="114">
        <v>18467629</v>
      </c>
      <c r="D75" s="115" t="s">
        <v>398</v>
      </c>
      <c r="E75" s="126">
        <v>44963</v>
      </c>
      <c r="F75" s="114" t="s">
        <v>21</v>
      </c>
      <c r="G75" s="96" t="s">
        <v>59</v>
      </c>
      <c r="H75" s="96">
        <v>4.72</v>
      </c>
      <c r="I75" s="96" t="s">
        <v>322</v>
      </c>
      <c r="J75" s="96">
        <v>2</v>
      </c>
      <c r="K75" s="97" t="s">
        <v>320</v>
      </c>
      <c r="L75" s="117"/>
    </row>
    <row r="76" spans="1:12" x14ac:dyDescent="0.2">
      <c r="A76" s="96">
        <v>73</v>
      </c>
      <c r="B76" s="113" t="s">
        <v>114</v>
      </c>
      <c r="C76" s="119">
        <v>7549216</v>
      </c>
      <c r="D76" s="113" t="s">
        <v>399</v>
      </c>
      <c r="E76" s="99">
        <v>42955</v>
      </c>
      <c r="F76" s="96" t="s">
        <v>21</v>
      </c>
      <c r="G76" s="96" t="s">
        <v>10</v>
      </c>
      <c r="H76" s="96">
        <v>4.67</v>
      </c>
      <c r="I76" s="96" t="s">
        <v>327</v>
      </c>
      <c r="J76" s="96">
        <v>2</v>
      </c>
      <c r="K76" s="97" t="s">
        <v>320</v>
      </c>
      <c r="L76" s="117"/>
    </row>
    <row r="77" spans="1:12" x14ac:dyDescent="0.2">
      <c r="A77" s="96">
        <v>74</v>
      </c>
      <c r="B77" s="113" t="s">
        <v>114</v>
      </c>
      <c r="C77" s="96">
        <v>75079420</v>
      </c>
      <c r="D77" s="113" t="s">
        <v>400</v>
      </c>
      <c r="E77" s="116">
        <v>39664</v>
      </c>
      <c r="F77" s="96" t="s">
        <v>21</v>
      </c>
      <c r="G77" s="96" t="s">
        <v>10</v>
      </c>
      <c r="H77" s="96">
        <v>4.76</v>
      </c>
      <c r="I77" s="96" t="s">
        <v>327</v>
      </c>
      <c r="J77" s="96">
        <v>2</v>
      </c>
      <c r="K77" s="97" t="s">
        <v>320</v>
      </c>
      <c r="L77" s="117"/>
    </row>
    <row r="78" spans="1:12" x14ac:dyDescent="0.2">
      <c r="A78" s="96">
        <v>75</v>
      </c>
      <c r="B78" s="113" t="s">
        <v>114</v>
      </c>
      <c r="C78" s="96">
        <v>7521214</v>
      </c>
      <c r="D78" s="113" t="s">
        <v>401</v>
      </c>
      <c r="E78" s="116">
        <v>35828</v>
      </c>
      <c r="F78" s="96" t="s">
        <v>21</v>
      </c>
      <c r="G78" s="96" t="s">
        <v>11</v>
      </c>
      <c r="H78" s="125">
        <v>4.5</v>
      </c>
      <c r="I78" s="96" t="s">
        <v>335</v>
      </c>
      <c r="J78" s="96">
        <v>1.6</v>
      </c>
      <c r="K78" s="97" t="s">
        <v>320</v>
      </c>
      <c r="L78" s="117"/>
    </row>
    <row r="79" spans="1:12" ht="38.25" x14ac:dyDescent="0.2">
      <c r="A79" s="106">
        <v>76</v>
      </c>
      <c r="B79" s="107" t="s">
        <v>114</v>
      </c>
      <c r="C79" s="106">
        <v>33816860</v>
      </c>
      <c r="D79" s="107" t="s">
        <v>402</v>
      </c>
      <c r="E79" s="142">
        <v>41436</v>
      </c>
      <c r="F79" s="106" t="s">
        <v>17</v>
      </c>
      <c r="G79" s="106" t="s">
        <v>10</v>
      </c>
      <c r="H79" s="106">
        <v>4.63</v>
      </c>
      <c r="I79" s="106" t="s">
        <v>353</v>
      </c>
      <c r="J79" s="106">
        <v>2</v>
      </c>
      <c r="K79" s="106" t="s">
        <v>403</v>
      </c>
      <c r="L79" s="108" t="s">
        <v>404</v>
      </c>
    </row>
    <row r="80" spans="1:12" x14ac:dyDescent="0.2">
      <c r="A80" s="96">
        <v>77</v>
      </c>
      <c r="B80" s="113" t="s">
        <v>115</v>
      </c>
      <c r="C80" s="114">
        <v>91499439</v>
      </c>
      <c r="D80" s="115" t="s">
        <v>405</v>
      </c>
      <c r="E80" s="126">
        <v>44963</v>
      </c>
      <c r="F80" s="96" t="s">
        <v>21</v>
      </c>
      <c r="G80" s="96" t="s">
        <v>22</v>
      </c>
      <c r="H80" s="127">
        <v>4.82</v>
      </c>
      <c r="I80" s="96" t="s">
        <v>322</v>
      </c>
      <c r="J80" s="96">
        <v>2</v>
      </c>
      <c r="K80" s="97" t="s">
        <v>320</v>
      </c>
      <c r="L80" s="117"/>
    </row>
    <row r="81" spans="1:12" x14ac:dyDescent="0.2">
      <c r="A81" s="96">
        <v>78</v>
      </c>
      <c r="B81" s="113" t="s">
        <v>115</v>
      </c>
      <c r="C81" s="96">
        <v>89005929</v>
      </c>
      <c r="D81" s="113" t="s">
        <v>406</v>
      </c>
      <c r="E81" s="116">
        <v>38376</v>
      </c>
      <c r="F81" s="96" t="s">
        <v>21</v>
      </c>
      <c r="G81" s="96" t="s">
        <v>10</v>
      </c>
      <c r="H81" s="96">
        <v>4.72</v>
      </c>
      <c r="I81" s="96" t="s">
        <v>326</v>
      </c>
      <c r="J81" s="96">
        <v>2</v>
      </c>
      <c r="K81" s="97" t="s">
        <v>320</v>
      </c>
      <c r="L81" s="117"/>
    </row>
    <row r="82" spans="1:12" x14ac:dyDescent="0.2">
      <c r="A82" s="96">
        <v>79</v>
      </c>
      <c r="B82" s="113" t="s">
        <v>115</v>
      </c>
      <c r="C82" s="96">
        <v>98337524</v>
      </c>
      <c r="D82" s="113" t="s">
        <v>407</v>
      </c>
      <c r="E82" s="116">
        <v>36951</v>
      </c>
      <c r="F82" s="96" t="s">
        <v>21</v>
      </c>
      <c r="G82" s="96" t="s">
        <v>10</v>
      </c>
      <c r="H82" s="96">
        <v>4.91</v>
      </c>
      <c r="I82" s="96" t="s">
        <v>326</v>
      </c>
      <c r="J82" s="96">
        <v>2</v>
      </c>
      <c r="K82" s="97" t="s">
        <v>320</v>
      </c>
      <c r="L82" s="117"/>
    </row>
    <row r="83" spans="1:12" ht="25.5" x14ac:dyDescent="0.2">
      <c r="A83" s="120">
        <v>80</v>
      </c>
      <c r="B83" s="122" t="s">
        <v>115</v>
      </c>
      <c r="C83" s="120">
        <v>70420310</v>
      </c>
      <c r="D83" s="122" t="s">
        <v>408</v>
      </c>
      <c r="E83" s="123">
        <v>40973</v>
      </c>
      <c r="F83" s="120" t="s">
        <v>21</v>
      </c>
      <c r="G83" s="120" t="s">
        <v>10</v>
      </c>
      <c r="H83" s="129">
        <v>5</v>
      </c>
      <c r="I83" s="120" t="s">
        <v>323</v>
      </c>
      <c r="J83" s="120">
        <v>2</v>
      </c>
      <c r="K83" s="124" t="s">
        <v>331</v>
      </c>
      <c r="L83" s="121" t="s">
        <v>116</v>
      </c>
    </row>
    <row r="84" spans="1:12" x14ac:dyDescent="0.2">
      <c r="A84" s="96">
        <v>81</v>
      </c>
      <c r="B84" s="113" t="s">
        <v>115</v>
      </c>
      <c r="C84" s="119">
        <v>43267159</v>
      </c>
      <c r="D84" s="117" t="s">
        <v>409</v>
      </c>
      <c r="E84" s="116">
        <v>43864</v>
      </c>
      <c r="F84" s="96" t="s">
        <v>21</v>
      </c>
      <c r="G84" s="96" t="s">
        <v>10</v>
      </c>
      <c r="H84" s="96">
        <v>4.91</v>
      </c>
      <c r="I84" s="96" t="s">
        <v>322</v>
      </c>
      <c r="J84" s="96">
        <v>2</v>
      </c>
      <c r="K84" s="97" t="s">
        <v>320</v>
      </c>
      <c r="L84" s="117"/>
    </row>
    <row r="85" spans="1:12" x14ac:dyDescent="0.2">
      <c r="A85" s="96">
        <v>82</v>
      </c>
      <c r="B85" s="117" t="s">
        <v>115</v>
      </c>
      <c r="C85" s="97">
        <v>10110620</v>
      </c>
      <c r="D85" s="117" t="s">
        <v>410</v>
      </c>
      <c r="E85" s="99">
        <v>39664</v>
      </c>
      <c r="F85" s="97" t="s">
        <v>21</v>
      </c>
      <c r="G85" s="97" t="s">
        <v>11</v>
      </c>
      <c r="H85" s="97">
        <v>4.51</v>
      </c>
      <c r="I85" s="97" t="s">
        <v>323</v>
      </c>
      <c r="J85" s="96">
        <v>2</v>
      </c>
      <c r="K85" s="97" t="s">
        <v>320</v>
      </c>
      <c r="L85" s="117"/>
    </row>
    <row r="86" spans="1:12" x14ac:dyDescent="0.2">
      <c r="A86" s="96">
        <v>83</v>
      </c>
      <c r="B86" s="113" t="s">
        <v>117</v>
      </c>
      <c r="C86" s="119">
        <v>41914225</v>
      </c>
      <c r="D86" s="113" t="s">
        <v>411</v>
      </c>
      <c r="E86" s="99">
        <v>42955</v>
      </c>
      <c r="F86" s="96" t="s">
        <v>17</v>
      </c>
      <c r="G86" s="96" t="s">
        <v>10</v>
      </c>
      <c r="H86" s="96">
        <v>4.96</v>
      </c>
      <c r="I86" s="96" t="s">
        <v>338</v>
      </c>
      <c r="J86" s="96">
        <v>2</v>
      </c>
      <c r="K86" s="97" t="s">
        <v>320</v>
      </c>
      <c r="L86" s="117"/>
    </row>
    <row r="87" spans="1:12" x14ac:dyDescent="0.2">
      <c r="A87" s="96">
        <v>84</v>
      </c>
      <c r="B87" s="113" t="s">
        <v>117</v>
      </c>
      <c r="C87" s="96">
        <v>7548440</v>
      </c>
      <c r="D87" s="113" t="s">
        <v>412</v>
      </c>
      <c r="E87" s="99">
        <v>41872</v>
      </c>
      <c r="F87" s="96" t="s">
        <v>21</v>
      </c>
      <c r="G87" s="96" t="s">
        <v>10</v>
      </c>
      <c r="H87" s="96">
        <v>4.68</v>
      </c>
      <c r="I87" s="96" t="s">
        <v>322</v>
      </c>
      <c r="J87" s="96">
        <v>2</v>
      </c>
      <c r="K87" s="97" t="s">
        <v>320</v>
      </c>
      <c r="L87" s="117"/>
    </row>
    <row r="88" spans="1:12" x14ac:dyDescent="0.2">
      <c r="A88" s="96">
        <v>85</v>
      </c>
      <c r="B88" s="113" t="s">
        <v>117</v>
      </c>
      <c r="C88" s="119">
        <v>34536538</v>
      </c>
      <c r="D88" s="113" t="s">
        <v>413</v>
      </c>
      <c r="E88" s="99">
        <v>42955</v>
      </c>
      <c r="F88" s="96" t="s">
        <v>17</v>
      </c>
      <c r="G88" s="96" t="s">
        <v>10</v>
      </c>
      <c r="H88" s="96">
        <v>4.96</v>
      </c>
      <c r="I88" s="96" t="s">
        <v>338</v>
      </c>
      <c r="J88" s="96">
        <v>2</v>
      </c>
      <c r="K88" s="97" t="s">
        <v>320</v>
      </c>
      <c r="L88" s="117"/>
    </row>
    <row r="89" spans="1:12" x14ac:dyDescent="0.2">
      <c r="A89" s="96">
        <v>86</v>
      </c>
      <c r="B89" s="113" t="s">
        <v>60</v>
      </c>
      <c r="C89" s="96">
        <v>18494950</v>
      </c>
      <c r="D89" s="113" t="s">
        <v>414</v>
      </c>
      <c r="E89" s="116">
        <v>37288</v>
      </c>
      <c r="F89" s="96" t="s">
        <v>17</v>
      </c>
      <c r="G89" s="96" t="s">
        <v>59</v>
      </c>
      <c r="H89" s="96">
        <v>4.59</v>
      </c>
      <c r="I89" s="96" t="s">
        <v>323</v>
      </c>
      <c r="J89" s="96">
        <v>2</v>
      </c>
      <c r="K89" s="97" t="s">
        <v>320</v>
      </c>
      <c r="L89" s="117"/>
    </row>
    <row r="90" spans="1:12" x14ac:dyDescent="0.2">
      <c r="A90" s="96">
        <v>87</v>
      </c>
      <c r="B90" s="113" t="s">
        <v>60</v>
      </c>
      <c r="C90" s="96">
        <v>7561197</v>
      </c>
      <c r="D90" s="113" t="s">
        <v>118</v>
      </c>
      <c r="E90" s="116">
        <v>37288</v>
      </c>
      <c r="F90" s="96" t="s">
        <v>21</v>
      </c>
      <c r="G90" s="96" t="s">
        <v>10</v>
      </c>
      <c r="H90" s="96">
        <v>4.8600000000000003</v>
      </c>
      <c r="I90" s="96" t="s">
        <v>323</v>
      </c>
      <c r="J90" s="96">
        <v>2</v>
      </c>
      <c r="K90" s="97" t="s">
        <v>320</v>
      </c>
      <c r="L90" s="117"/>
    </row>
    <row r="91" spans="1:12" x14ac:dyDescent="0.2">
      <c r="A91" s="96">
        <v>88</v>
      </c>
      <c r="B91" s="113" t="s">
        <v>60</v>
      </c>
      <c r="C91" s="119">
        <v>41948404</v>
      </c>
      <c r="D91" s="113" t="s">
        <v>415</v>
      </c>
      <c r="E91" s="99">
        <v>42955</v>
      </c>
      <c r="F91" s="96" t="s">
        <v>17</v>
      </c>
      <c r="G91" s="96" t="s">
        <v>22</v>
      </c>
      <c r="H91" s="125">
        <v>4.7</v>
      </c>
      <c r="I91" s="96" t="s">
        <v>335</v>
      </c>
      <c r="J91" s="96">
        <v>2</v>
      </c>
      <c r="K91" s="97" t="s">
        <v>320</v>
      </c>
      <c r="L91" s="117"/>
    </row>
    <row r="92" spans="1:12" x14ac:dyDescent="0.2">
      <c r="A92" s="96">
        <v>89</v>
      </c>
      <c r="B92" s="113" t="s">
        <v>60</v>
      </c>
      <c r="C92" s="114">
        <v>41945865</v>
      </c>
      <c r="D92" s="115" t="s">
        <v>416</v>
      </c>
      <c r="E92" s="126">
        <v>44963</v>
      </c>
      <c r="F92" s="114" t="s">
        <v>17</v>
      </c>
      <c r="G92" s="96" t="s">
        <v>22</v>
      </c>
      <c r="H92" s="127">
        <v>4.84</v>
      </c>
      <c r="I92" s="96" t="s">
        <v>322</v>
      </c>
      <c r="J92" s="96">
        <v>2</v>
      </c>
      <c r="K92" s="97" t="s">
        <v>320</v>
      </c>
      <c r="L92" s="117"/>
    </row>
    <row r="93" spans="1:12" x14ac:dyDescent="0.2">
      <c r="A93" s="96">
        <v>90</v>
      </c>
      <c r="B93" s="113" t="s">
        <v>60</v>
      </c>
      <c r="C93" s="114">
        <v>89008169</v>
      </c>
      <c r="D93" s="115" t="s">
        <v>119</v>
      </c>
      <c r="E93" s="126">
        <v>44963</v>
      </c>
      <c r="F93" s="114" t="s">
        <v>17</v>
      </c>
      <c r="G93" s="96" t="s">
        <v>59</v>
      </c>
      <c r="H93" s="127">
        <v>4.84</v>
      </c>
      <c r="I93" s="96" t="s">
        <v>322</v>
      </c>
      <c r="J93" s="96">
        <v>2</v>
      </c>
      <c r="K93" s="97" t="s">
        <v>320</v>
      </c>
      <c r="L93" s="117"/>
    </row>
    <row r="94" spans="1:12" x14ac:dyDescent="0.2">
      <c r="A94" s="96">
        <v>91</v>
      </c>
      <c r="B94" s="113" t="s">
        <v>60</v>
      </c>
      <c r="C94" s="119">
        <v>9866770</v>
      </c>
      <c r="D94" s="113" t="s">
        <v>120</v>
      </c>
      <c r="E94" s="99">
        <v>42955</v>
      </c>
      <c r="F94" s="96" t="s">
        <v>21</v>
      </c>
      <c r="G94" s="96" t="s">
        <v>22</v>
      </c>
      <c r="H94" s="96">
        <v>4.87</v>
      </c>
      <c r="I94" s="96" t="s">
        <v>335</v>
      </c>
      <c r="J94" s="96">
        <v>2</v>
      </c>
      <c r="K94" s="97" t="s">
        <v>320</v>
      </c>
      <c r="L94" s="117"/>
    </row>
    <row r="95" spans="1:12" x14ac:dyDescent="0.2">
      <c r="A95" s="96">
        <v>92</v>
      </c>
      <c r="B95" s="113" t="s">
        <v>60</v>
      </c>
      <c r="C95" s="96">
        <v>7530943</v>
      </c>
      <c r="D95" s="113" t="s">
        <v>417</v>
      </c>
      <c r="E95" s="116">
        <v>33991</v>
      </c>
      <c r="F95" s="96" t="s">
        <v>17</v>
      </c>
      <c r="G95" s="96" t="s">
        <v>22</v>
      </c>
      <c r="H95" s="125">
        <v>4.8</v>
      </c>
      <c r="I95" s="96" t="s">
        <v>335</v>
      </c>
      <c r="J95" s="96">
        <v>2</v>
      </c>
      <c r="K95" s="97" t="s">
        <v>320</v>
      </c>
      <c r="L95" s="117"/>
    </row>
    <row r="96" spans="1:12" x14ac:dyDescent="0.2">
      <c r="A96" s="96">
        <v>93</v>
      </c>
      <c r="B96" s="113" t="s">
        <v>60</v>
      </c>
      <c r="C96" s="119">
        <v>7555284</v>
      </c>
      <c r="D96" s="113" t="s">
        <v>418</v>
      </c>
      <c r="E96" s="116">
        <v>40203</v>
      </c>
      <c r="F96" s="96" t="s">
        <v>17</v>
      </c>
      <c r="G96" s="96" t="s">
        <v>22</v>
      </c>
      <c r="H96" s="96">
        <v>4.6900000000000004</v>
      </c>
      <c r="I96" s="96" t="s">
        <v>335</v>
      </c>
      <c r="J96" s="96">
        <v>2</v>
      </c>
      <c r="K96" s="97" t="s">
        <v>320</v>
      </c>
      <c r="L96" s="117"/>
    </row>
    <row r="97" spans="1:12" x14ac:dyDescent="0.2">
      <c r="A97" s="96">
        <v>94</v>
      </c>
      <c r="B97" s="113" t="s">
        <v>60</v>
      </c>
      <c r="C97" s="96">
        <v>89006026</v>
      </c>
      <c r="D97" s="113" t="s">
        <v>419</v>
      </c>
      <c r="E97" s="116">
        <v>39142</v>
      </c>
      <c r="F97" s="96" t="s">
        <v>17</v>
      </c>
      <c r="G97" s="96" t="s">
        <v>10</v>
      </c>
      <c r="H97" s="96">
        <v>4.92</v>
      </c>
      <c r="I97" s="96" t="s">
        <v>323</v>
      </c>
      <c r="J97" s="96">
        <v>2</v>
      </c>
      <c r="K97" s="97" t="s">
        <v>320</v>
      </c>
      <c r="L97" s="117"/>
    </row>
    <row r="98" spans="1:12" x14ac:dyDescent="0.2">
      <c r="A98" s="96">
        <v>95</v>
      </c>
      <c r="B98" s="113" t="s">
        <v>60</v>
      </c>
      <c r="C98" s="96">
        <v>34554225</v>
      </c>
      <c r="D98" s="113" t="s">
        <v>420</v>
      </c>
      <c r="E98" s="116">
        <v>38376</v>
      </c>
      <c r="F98" s="96" t="s">
        <v>17</v>
      </c>
      <c r="G98" s="96" t="s">
        <v>59</v>
      </c>
      <c r="H98" s="96">
        <v>4.68</v>
      </c>
      <c r="I98" s="96" t="s">
        <v>323</v>
      </c>
      <c r="J98" s="96">
        <v>2</v>
      </c>
      <c r="K98" s="97" t="s">
        <v>320</v>
      </c>
      <c r="L98" s="117"/>
    </row>
    <row r="99" spans="1:12" x14ac:dyDescent="0.2">
      <c r="A99" s="96">
        <v>96</v>
      </c>
      <c r="B99" s="113" t="s">
        <v>60</v>
      </c>
      <c r="C99" s="96">
        <v>7556767</v>
      </c>
      <c r="D99" s="113" t="s">
        <v>421</v>
      </c>
      <c r="E99" s="116">
        <v>35828</v>
      </c>
      <c r="F99" s="96" t="s">
        <v>21</v>
      </c>
      <c r="G99" s="96" t="s">
        <v>22</v>
      </c>
      <c r="H99" s="96">
        <v>4.84</v>
      </c>
      <c r="I99" s="96" t="s">
        <v>335</v>
      </c>
      <c r="J99" s="96">
        <v>2</v>
      </c>
      <c r="K99" s="97" t="s">
        <v>320</v>
      </c>
      <c r="L99" s="117"/>
    </row>
    <row r="100" spans="1:12" x14ac:dyDescent="0.2">
      <c r="A100" s="96">
        <v>97</v>
      </c>
      <c r="B100" s="113" t="s">
        <v>60</v>
      </c>
      <c r="C100" s="96">
        <v>7548119</v>
      </c>
      <c r="D100" s="113" t="s">
        <v>121</v>
      </c>
      <c r="E100" s="116">
        <v>35828</v>
      </c>
      <c r="F100" s="96" t="s">
        <v>21</v>
      </c>
      <c r="G100" s="96" t="s">
        <v>22</v>
      </c>
      <c r="H100" s="96">
        <v>4.83</v>
      </c>
      <c r="I100" s="96" t="s">
        <v>323</v>
      </c>
      <c r="J100" s="96">
        <v>2</v>
      </c>
      <c r="K100" s="97" t="s">
        <v>320</v>
      </c>
      <c r="L100" s="117"/>
    </row>
    <row r="101" spans="1:12" ht="51" x14ac:dyDescent="0.2">
      <c r="A101" s="106">
        <v>98</v>
      </c>
      <c r="B101" s="107" t="s">
        <v>60</v>
      </c>
      <c r="C101" s="106">
        <v>89001775</v>
      </c>
      <c r="D101" s="107" t="s">
        <v>422</v>
      </c>
      <c r="E101" s="142">
        <v>40947</v>
      </c>
      <c r="F101" s="106" t="s">
        <v>17</v>
      </c>
      <c r="G101" s="106" t="s">
        <v>11</v>
      </c>
      <c r="H101" s="106">
        <v>4.74</v>
      </c>
      <c r="I101" s="106" t="s">
        <v>319</v>
      </c>
      <c r="J101" s="106">
        <v>2</v>
      </c>
      <c r="K101" s="110" t="s">
        <v>320</v>
      </c>
      <c r="L101" s="108" t="s">
        <v>423</v>
      </c>
    </row>
    <row r="102" spans="1:12" ht="38.25" x14ac:dyDescent="0.2">
      <c r="A102" s="120">
        <v>99</v>
      </c>
      <c r="B102" s="122" t="s">
        <v>60</v>
      </c>
      <c r="C102" s="120">
        <v>18416179</v>
      </c>
      <c r="D102" s="122" t="s">
        <v>424</v>
      </c>
      <c r="E102" s="123">
        <v>39199</v>
      </c>
      <c r="F102" s="120" t="s">
        <v>17</v>
      </c>
      <c r="G102" s="120" t="s">
        <v>10</v>
      </c>
      <c r="H102" s="138">
        <v>5</v>
      </c>
      <c r="I102" s="124" t="s">
        <v>360</v>
      </c>
      <c r="J102" s="120">
        <v>2</v>
      </c>
      <c r="K102" s="124" t="s">
        <v>331</v>
      </c>
      <c r="L102" s="121" t="s">
        <v>122</v>
      </c>
    </row>
    <row r="103" spans="1:12" ht="25.5" x14ac:dyDescent="0.2">
      <c r="A103" s="120">
        <v>100</v>
      </c>
      <c r="B103" s="122" t="s">
        <v>60</v>
      </c>
      <c r="C103" s="120">
        <v>7503647</v>
      </c>
      <c r="D103" s="122" t="s">
        <v>425</v>
      </c>
      <c r="E103" s="123">
        <v>28185</v>
      </c>
      <c r="F103" s="120" t="s">
        <v>17</v>
      </c>
      <c r="G103" s="120" t="s">
        <v>11</v>
      </c>
      <c r="H103" s="138">
        <v>5</v>
      </c>
      <c r="I103" s="124" t="s">
        <v>360</v>
      </c>
      <c r="J103" s="120">
        <v>2</v>
      </c>
      <c r="K103" s="124" t="s">
        <v>331</v>
      </c>
      <c r="L103" s="121" t="s">
        <v>123</v>
      </c>
    </row>
    <row r="104" spans="1:12" x14ac:dyDescent="0.2">
      <c r="A104" s="96">
        <v>101</v>
      </c>
      <c r="B104" s="113" t="s">
        <v>60</v>
      </c>
      <c r="C104" s="96">
        <v>79851951</v>
      </c>
      <c r="D104" s="113" t="s">
        <v>426</v>
      </c>
      <c r="E104" s="116">
        <v>41964</v>
      </c>
      <c r="F104" s="96" t="s">
        <v>17</v>
      </c>
      <c r="G104" s="96" t="s">
        <v>10</v>
      </c>
      <c r="H104" s="96">
        <v>4.6399999999999997</v>
      </c>
      <c r="I104" s="96" t="s">
        <v>335</v>
      </c>
      <c r="J104" s="96">
        <v>2</v>
      </c>
      <c r="K104" s="97" t="s">
        <v>320</v>
      </c>
      <c r="L104" s="117"/>
    </row>
    <row r="105" spans="1:12" ht="25.5" x14ac:dyDescent="0.2">
      <c r="A105" s="120">
        <v>102</v>
      </c>
      <c r="B105" s="122" t="s">
        <v>60</v>
      </c>
      <c r="C105" s="145">
        <v>30397494</v>
      </c>
      <c r="D105" s="146" t="s">
        <v>427</v>
      </c>
      <c r="E105" s="128">
        <v>42955</v>
      </c>
      <c r="F105" s="120" t="s">
        <v>17</v>
      </c>
      <c r="G105" s="120" t="s">
        <v>22</v>
      </c>
      <c r="H105" s="138">
        <v>4.9000000000000004</v>
      </c>
      <c r="I105" s="124" t="s">
        <v>323</v>
      </c>
      <c r="J105" s="120">
        <v>2</v>
      </c>
      <c r="K105" s="124" t="s">
        <v>331</v>
      </c>
      <c r="L105" s="121" t="s">
        <v>124</v>
      </c>
    </row>
    <row r="106" spans="1:12" x14ac:dyDescent="0.2">
      <c r="A106" s="96">
        <v>103</v>
      </c>
      <c r="B106" s="113" t="s">
        <v>125</v>
      </c>
      <c r="C106" s="119">
        <v>43876871</v>
      </c>
      <c r="D106" s="113" t="s">
        <v>428</v>
      </c>
      <c r="E106" s="116">
        <v>41963</v>
      </c>
      <c r="F106" s="96" t="s">
        <v>429</v>
      </c>
      <c r="G106" s="97" t="s">
        <v>10</v>
      </c>
      <c r="H106" s="96">
        <v>4.96</v>
      </c>
      <c r="I106" s="96" t="s">
        <v>335</v>
      </c>
      <c r="J106" s="96">
        <v>2</v>
      </c>
      <c r="K106" s="97" t="s">
        <v>320</v>
      </c>
      <c r="L106" s="117"/>
    </row>
    <row r="107" spans="1:12" x14ac:dyDescent="0.2">
      <c r="A107" s="96">
        <v>104</v>
      </c>
      <c r="B107" s="113" t="s">
        <v>125</v>
      </c>
      <c r="C107" s="96">
        <v>7559351</v>
      </c>
      <c r="D107" s="113" t="s">
        <v>430</v>
      </c>
      <c r="E107" s="116">
        <v>40963</v>
      </c>
      <c r="F107" s="96" t="s">
        <v>21</v>
      </c>
      <c r="G107" s="96" t="s">
        <v>11</v>
      </c>
      <c r="H107" s="96">
        <v>4.6900000000000004</v>
      </c>
      <c r="I107" s="96" t="s">
        <v>335</v>
      </c>
      <c r="J107" s="96">
        <v>2</v>
      </c>
      <c r="K107" s="97" t="s">
        <v>320</v>
      </c>
      <c r="L107" s="117"/>
    </row>
    <row r="108" spans="1:12" x14ac:dyDescent="0.2">
      <c r="A108" s="96">
        <v>105</v>
      </c>
      <c r="B108" s="113" t="s">
        <v>125</v>
      </c>
      <c r="C108" s="119">
        <v>79326473</v>
      </c>
      <c r="D108" s="136" t="s">
        <v>126</v>
      </c>
      <c r="E108" s="116">
        <v>41673</v>
      </c>
      <c r="F108" s="96" t="s">
        <v>21</v>
      </c>
      <c r="G108" s="96" t="s">
        <v>10</v>
      </c>
      <c r="H108" s="96">
        <v>4.96</v>
      </c>
      <c r="I108" s="96" t="s">
        <v>323</v>
      </c>
      <c r="J108" s="96">
        <v>2</v>
      </c>
      <c r="K108" s="97" t="s">
        <v>320</v>
      </c>
      <c r="L108" s="117"/>
    </row>
    <row r="109" spans="1:12" x14ac:dyDescent="0.2">
      <c r="A109" s="96">
        <v>106</v>
      </c>
      <c r="B109" s="113" t="s">
        <v>125</v>
      </c>
      <c r="C109" s="119">
        <v>30394707</v>
      </c>
      <c r="D109" s="136" t="s">
        <v>431</v>
      </c>
      <c r="E109" s="116">
        <v>41673</v>
      </c>
      <c r="F109" s="96" t="s">
        <v>21</v>
      </c>
      <c r="G109" s="96" t="s">
        <v>10</v>
      </c>
      <c r="H109" s="96">
        <v>4.82</v>
      </c>
      <c r="I109" s="96" t="s">
        <v>323</v>
      </c>
      <c r="J109" s="96">
        <v>2</v>
      </c>
      <c r="K109" s="97" t="s">
        <v>320</v>
      </c>
      <c r="L109" s="117"/>
    </row>
    <row r="110" spans="1:12" x14ac:dyDescent="0.2">
      <c r="A110" s="96">
        <v>107</v>
      </c>
      <c r="B110" s="113" t="s">
        <v>125</v>
      </c>
      <c r="C110" s="96">
        <v>41721518</v>
      </c>
      <c r="D110" s="113" t="s">
        <v>432</v>
      </c>
      <c r="E110" s="116">
        <v>31810</v>
      </c>
      <c r="F110" s="96" t="s">
        <v>21</v>
      </c>
      <c r="G110" s="96" t="s">
        <v>10</v>
      </c>
      <c r="H110" s="127">
        <v>4.8899999999999997</v>
      </c>
      <c r="I110" s="96" t="s">
        <v>338</v>
      </c>
      <c r="J110" s="96">
        <v>2</v>
      </c>
      <c r="K110" s="97" t="s">
        <v>320</v>
      </c>
      <c r="L110" s="117"/>
    </row>
    <row r="111" spans="1:12" ht="25.5" x14ac:dyDescent="0.2">
      <c r="A111" s="120">
        <v>108</v>
      </c>
      <c r="B111" s="122" t="s">
        <v>125</v>
      </c>
      <c r="C111" s="145">
        <v>9732960</v>
      </c>
      <c r="D111" s="146" t="s">
        <v>127</v>
      </c>
      <c r="E111" s="128">
        <v>41872</v>
      </c>
      <c r="F111" s="120" t="s">
        <v>21</v>
      </c>
      <c r="G111" s="120" t="s">
        <v>11</v>
      </c>
      <c r="H111" s="120">
        <v>4.6100000000000003</v>
      </c>
      <c r="I111" s="120" t="s">
        <v>323</v>
      </c>
      <c r="J111" s="120">
        <v>2</v>
      </c>
      <c r="K111" s="124" t="s">
        <v>331</v>
      </c>
      <c r="L111" s="121" t="s">
        <v>128</v>
      </c>
    </row>
    <row r="112" spans="1:12" x14ac:dyDescent="0.2">
      <c r="A112" s="96">
        <v>109</v>
      </c>
      <c r="B112" s="113" t="s">
        <v>125</v>
      </c>
      <c r="C112" s="96">
        <v>41922558</v>
      </c>
      <c r="D112" s="113" t="s">
        <v>129</v>
      </c>
      <c r="E112" s="116">
        <v>40203</v>
      </c>
      <c r="F112" s="96" t="s">
        <v>21</v>
      </c>
      <c r="G112" s="96" t="s">
        <v>11</v>
      </c>
      <c r="H112" s="127">
        <v>4.8600000000000003</v>
      </c>
      <c r="I112" s="96" t="s">
        <v>326</v>
      </c>
      <c r="J112" s="96">
        <v>2</v>
      </c>
      <c r="K112" s="97" t="s">
        <v>320</v>
      </c>
      <c r="L112" s="117"/>
    </row>
    <row r="113" spans="1:12" x14ac:dyDescent="0.2">
      <c r="A113" s="96">
        <v>110</v>
      </c>
      <c r="B113" s="113" t="s">
        <v>433</v>
      </c>
      <c r="C113" s="96">
        <v>94286282</v>
      </c>
      <c r="D113" s="113" t="s">
        <v>434</v>
      </c>
      <c r="E113" s="116">
        <v>40203</v>
      </c>
      <c r="F113" s="96" t="s">
        <v>21</v>
      </c>
      <c r="G113" s="96" t="s">
        <v>10</v>
      </c>
      <c r="H113" s="127">
        <v>4.92</v>
      </c>
      <c r="I113" s="96" t="s">
        <v>338</v>
      </c>
      <c r="J113" s="96">
        <v>2</v>
      </c>
      <c r="K113" s="97" t="s">
        <v>320</v>
      </c>
      <c r="L113" s="113"/>
    </row>
    <row r="114" spans="1:12" x14ac:dyDescent="0.2">
      <c r="A114" s="96">
        <v>111</v>
      </c>
      <c r="B114" s="113" t="s">
        <v>433</v>
      </c>
      <c r="C114" s="96">
        <v>89004671</v>
      </c>
      <c r="D114" s="113" t="s">
        <v>435</v>
      </c>
      <c r="E114" s="116">
        <v>38985</v>
      </c>
      <c r="F114" s="96" t="s">
        <v>21</v>
      </c>
      <c r="G114" s="96" t="s">
        <v>11</v>
      </c>
      <c r="H114" s="127">
        <v>4.93</v>
      </c>
      <c r="I114" s="96" t="s">
        <v>338</v>
      </c>
      <c r="J114" s="96">
        <v>2</v>
      </c>
      <c r="K114" s="97" t="s">
        <v>320</v>
      </c>
      <c r="L114" s="113"/>
    </row>
    <row r="115" spans="1:12" x14ac:dyDescent="0.2">
      <c r="A115" s="96">
        <v>112</v>
      </c>
      <c r="B115" s="113" t="s">
        <v>433</v>
      </c>
      <c r="C115" s="96">
        <v>7561086</v>
      </c>
      <c r="D115" s="113" t="s">
        <v>436</v>
      </c>
      <c r="E115" s="116">
        <v>38551</v>
      </c>
      <c r="F115" s="96" t="s">
        <v>21</v>
      </c>
      <c r="G115" s="96" t="s">
        <v>11</v>
      </c>
      <c r="H115" s="96">
        <v>4.83</v>
      </c>
      <c r="I115" s="96" t="s">
        <v>326</v>
      </c>
      <c r="J115" s="96">
        <v>2</v>
      </c>
      <c r="K115" s="97" t="s">
        <v>320</v>
      </c>
      <c r="L115" s="113"/>
    </row>
    <row r="116" spans="1:12" x14ac:dyDescent="0.2">
      <c r="A116" s="96">
        <v>113</v>
      </c>
      <c r="B116" s="113" t="s">
        <v>433</v>
      </c>
      <c r="C116" s="114">
        <v>24582340</v>
      </c>
      <c r="D116" s="115" t="s">
        <v>437</v>
      </c>
      <c r="E116" s="126">
        <v>44963</v>
      </c>
      <c r="F116" s="114" t="s">
        <v>17</v>
      </c>
      <c r="G116" s="96" t="s">
        <v>22</v>
      </c>
      <c r="H116" s="127">
        <v>4.72</v>
      </c>
      <c r="I116" s="96" t="s">
        <v>322</v>
      </c>
      <c r="J116" s="96">
        <v>2</v>
      </c>
      <c r="K116" s="97" t="s">
        <v>320</v>
      </c>
      <c r="L116" s="113"/>
    </row>
    <row r="117" spans="1:12" x14ac:dyDescent="0.2">
      <c r="A117" s="96">
        <v>114</v>
      </c>
      <c r="B117" s="113" t="s">
        <v>433</v>
      </c>
      <c r="C117" s="96">
        <v>16786435</v>
      </c>
      <c r="D117" s="113" t="s">
        <v>438</v>
      </c>
      <c r="E117" s="116">
        <v>36084</v>
      </c>
      <c r="F117" s="96" t="s">
        <v>21</v>
      </c>
      <c r="G117" s="96" t="s">
        <v>11</v>
      </c>
      <c r="H117" s="125">
        <v>4.24</v>
      </c>
      <c r="I117" s="96" t="s">
        <v>335</v>
      </c>
      <c r="J117" s="96">
        <v>1.6</v>
      </c>
      <c r="K117" s="97" t="s">
        <v>320</v>
      </c>
      <c r="L117" s="113"/>
    </row>
    <row r="118" spans="1:12" ht="25.5" x14ac:dyDescent="0.2">
      <c r="A118" s="120">
        <v>115</v>
      </c>
      <c r="B118" s="122" t="s">
        <v>433</v>
      </c>
      <c r="C118" s="120">
        <v>9736170</v>
      </c>
      <c r="D118" s="122" t="s">
        <v>439</v>
      </c>
      <c r="E118" s="123">
        <v>40959</v>
      </c>
      <c r="F118" s="120" t="s">
        <v>21</v>
      </c>
      <c r="G118" s="120" t="s">
        <v>10</v>
      </c>
      <c r="H118" s="129">
        <v>5</v>
      </c>
      <c r="I118" s="120" t="s">
        <v>323</v>
      </c>
      <c r="J118" s="120">
        <v>2</v>
      </c>
      <c r="K118" s="124" t="s">
        <v>331</v>
      </c>
      <c r="L118" s="121" t="s">
        <v>130</v>
      </c>
    </row>
    <row r="119" spans="1:12" x14ac:dyDescent="0.2">
      <c r="A119" s="96">
        <v>116</v>
      </c>
      <c r="B119" s="113" t="s">
        <v>433</v>
      </c>
      <c r="C119" s="96">
        <v>7560430</v>
      </c>
      <c r="D119" s="113" t="s">
        <v>440</v>
      </c>
      <c r="E119" s="116">
        <v>37165</v>
      </c>
      <c r="F119" s="96" t="s">
        <v>21</v>
      </c>
      <c r="G119" s="96" t="s">
        <v>11</v>
      </c>
      <c r="H119" s="96">
        <v>4.88</v>
      </c>
      <c r="I119" s="96" t="s">
        <v>323</v>
      </c>
      <c r="J119" s="96">
        <v>2</v>
      </c>
      <c r="K119" s="97" t="s">
        <v>320</v>
      </c>
      <c r="L119" s="113"/>
    </row>
    <row r="120" spans="1:12" x14ac:dyDescent="0.2">
      <c r="A120" s="131">
        <v>117</v>
      </c>
      <c r="B120" s="133" t="s">
        <v>433</v>
      </c>
      <c r="C120" s="131">
        <v>14896480</v>
      </c>
      <c r="D120" s="133" t="s">
        <v>441</v>
      </c>
      <c r="E120" s="134">
        <v>37165</v>
      </c>
      <c r="F120" s="131" t="s">
        <v>21</v>
      </c>
      <c r="G120" s="131" t="s">
        <v>11</v>
      </c>
      <c r="H120" s="131">
        <v>4.91</v>
      </c>
      <c r="I120" s="131" t="s">
        <v>360</v>
      </c>
      <c r="J120" s="131">
        <v>2</v>
      </c>
      <c r="K120" s="135" t="s">
        <v>320</v>
      </c>
      <c r="L120" s="132" t="s">
        <v>354</v>
      </c>
    </row>
    <row r="121" spans="1:12" x14ac:dyDescent="0.2">
      <c r="A121" s="96">
        <v>118</v>
      </c>
      <c r="B121" s="113" t="s">
        <v>433</v>
      </c>
      <c r="C121" s="114">
        <v>18493676</v>
      </c>
      <c r="D121" s="115" t="s">
        <v>442</v>
      </c>
      <c r="E121" s="126">
        <v>44963</v>
      </c>
      <c r="F121" s="114" t="s">
        <v>17</v>
      </c>
      <c r="G121" s="96" t="s">
        <v>22</v>
      </c>
      <c r="H121" s="127">
        <v>4.84</v>
      </c>
      <c r="I121" s="96" t="s">
        <v>322</v>
      </c>
      <c r="J121" s="96">
        <v>2</v>
      </c>
      <c r="K121" s="97" t="s">
        <v>320</v>
      </c>
      <c r="L121" s="113"/>
    </row>
    <row r="122" spans="1:12" x14ac:dyDescent="0.2">
      <c r="A122" s="96">
        <v>119</v>
      </c>
      <c r="B122" s="113" t="s">
        <v>433</v>
      </c>
      <c r="C122" s="96">
        <v>41945894</v>
      </c>
      <c r="D122" s="113" t="s">
        <v>131</v>
      </c>
      <c r="E122" s="116">
        <v>38393</v>
      </c>
      <c r="F122" s="96" t="s">
        <v>21</v>
      </c>
      <c r="G122" s="96" t="s">
        <v>11</v>
      </c>
      <c r="H122" s="96">
        <v>4.75</v>
      </c>
      <c r="I122" s="96" t="s">
        <v>323</v>
      </c>
      <c r="J122" s="96">
        <v>2</v>
      </c>
      <c r="K122" s="97" t="s">
        <v>320</v>
      </c>
      <c r="L122" s="113"/>
    </row>
    <row r="123" spans="1:12" ht="25.5" x14ac:dyDescent="0.2">
      <c r="A123" s="120">
        <v>120</v>
      </c>
      <c r="B123" s="122" t="s">
        <v>433</v>
      </c>
      <c r="C123" s="120">
        <v>7558022</v>
      </c>
      <c r="D123" s="122" t="s">
        <v>443</v>
      </c>
      <c r="E123" s="123">
        <v>37165</v>
      </c>
      <c r="F123" s="120" t="s">
        <v>17</v>
      </c>
      <c r="G123" s="120" t="s">
        <v>10</v>
      </c>
      <c r="H123" s="138">
        <v>5</v>
      </c>
      <c r="I123" s="124" t="s">
        <v>323</v>
      </c>
      <c r="J123" s="120">
        <v>2</v>
      </c>
      <c r="K123" s="124" t="s">
        <v>331</v>
      </c>
      <c r="L123" s="121" t="s">
        <v>444</v>
      </c>
    </row>
    <row r="124" spans="1:12" x14ac:dyDescent="0.2">
      <c r="A124" s="96">
        <v>121</v>
      </c>
      <c r="B124" s="113" t="s">
        <v>433</v>
      </c>
      <c r="C124" s="96">
        <v>7545283</v>
      </c>
      <c r="D124" s="113" t="s">
        <v>445</v>
      </c>
      <c r="E124" s="99">
        <v>42955</v>
      </c>
      <c r="F124" s="96" t="s">
        <v>17</v>
      </c>
      <c r="G124" s="96" t="s">
        <v>22</v>
      </c>
      <c r="H124" s="96">
        <v>4.75</v>
      </c>
      <c r="I124" s="96" t="s">
        <v>319</v>
      </c>
      <c r="J124" s="96">
        <v>2</v>
      </c>
      <c r="K124" s="97" t="s">
        <v>320</v>
      </c>
      <c r="L124" s="113"/>
    </row>
    <row r="125" spans="1:12" x14ac:dyDescent="0.2">
      <c r="A125" s="96">
        <v>122</v>
      </c>
      <c r="B125" s="113" t="s">
        <v>433</v>
      </c>
      <c r="C125" s="114">
        <v>16512197</v>
      </c>
      <c r="D125" s="115" t="s">
        <v>446</v>
      </c>
      <c r="E125" s="126">
        <v>44963</v>
      </c>
      <c r="F125" s="114" t="s">
        <v>17</v>
      </c>
      <c r="G125" s="96" t="s">
        <v>22</v>
      </c>
      <c r="H125" s="127">
        <v>4.93</v>
      </c>
      <c r="I125" s="96" t="s">
        <v>322</v>
      </c>
      <c r="J125" s="96">
        <v>2</v>
      </c>
      <c r="K125" s="97" t="s">
        <v>320</v>
      </c>
      <c r="L125" s="113"/>
    </row>
    <row r="126" spans="1:12" x14ac:dyDescent="0.2">
      <c r="A126" s="96">
        <v>123</v>
      </c>
      <c r="B126" s="113" t="s">
        <v>433</v>
      </c>
      <c r="C126" s="96">
        <v>41948811</v>
      </c>
      <c r="D126" s="113" t="s">
        <v>447</v>
      </c>
      <c r="E126" s="116">
        <v>40203</v>
      </c>
      <c r="F126" s="96" t="s">
        <v>21</v>
      </c>
      <c r="G126" s="96" t="s">
        <v>11</v>
      </c>
      <c r="H126" s="96">
        <v>4.88</v>
      </c>
      <c r="I126" s="96" t="s">
        <v>323</v>
      </c>
      <c r="J126" s="96">
        <v>2</v>
      </c>
      <c r="K126" s="97" t="s">
        <v>320</v>
      </c>
      <c r="L126" s="117"/>
    </row>
    <row r="127" spans="1:12" x14ac:dyDescent="0.2">
      <c r="A127" s="96">
        <v>124</v>
      </c>
      <c r="B127" s="113" t="s">
        <v>433</v>
      </c>
      <c r="C127" s="96">
        <v>18397507</v>
      </c>
      <c r="D127" s="113" t="s">
        <v>448</v>
      </c>
      <c r="E127" s="99">
        <v>41872</v>
      </c>
      <c r="F127" s="96" t="s">
        <v>21</v>
      </c>
      <c r="G127" s="96" t="s">
        <v>10</v>
      </c>
      <c r="H127" s="127">
        <v>4.97</v>
      </c>
      <c r="I127" s="96" t="s">
        <v>338</v>
      </c>
      <c r="J127" s="96">
        <v>2</v>
      </c>
      <c r="K127" s="97" t="s">
        <v>320</v>
      </c>
      <c r="L127" s="113"/>
    </row>
    <row r="128" spans="1:12" x14ac:dyDescent="0.2">
      <c r="A128" s="96">
        <v>125</v>
      </c>
      <c r="B128" s="113" t="s">
        <v>433</v>
      </c>
      <c r="C128" s="119">
        <v>18401163</v>
      </c>
      <c r="D128" s="117" t="s">
        <v>132</v>
      </c>
      <c r="E128" s="99">
        <v>43864</v>
      </c>
      <c r="F128" s="96" t="s">
        <v>17</v>
      </c>
      <c r="G128" s="96" t="s">
        <v>10</v>
      </c>
      <c r="H128" s="96">
        <v>4.92</v>
      </c>
      <c r="I128" s="96" t="s">
        <v>323</v>
      </c>
      <c r="J128" s="96">
        <v>2</v>
      </c>
      <c r="K128" s="97" t="s">
        <v>320</v>
      </c>
      <c r="L128" s="113"/>
    </row>
    <row r="129" spans="1:12" x14ac:dyDescent="0.2">
      <c r="A129" s="96">
        <v>126</v>
      </c>
      <c r="B129" s="113" t="s">
        <v>433</v>
      </c>
      <c r="C129" s="96">
        <v>41948277</v>
      </c>
      <c r="D129" s="113" t="s">
        <v>449</v>
      </c>
      <c r="E129" s="116">
        <v>38551</v>
      </c>
      <c r="F129" s="96" t="s">
        <v>21</v>
      </c>
      <c r="G129" s="96" t="s">
        <v>11</v>
      </c>
      <c r="H129" s="96">
        <v>4.87</v>
      </c>
      <c r="I129" s="96" t="s">
        <v>335</v>
      </c>
      <c r="J129" s="96">
        <v>2</v>
      </c>
      <c r="K129" s="97" t="s">
        <v>320</v>
      </c>
      <c r="L129" s="113"/>
    </row>
    <row r="130" spans="1:12" x14ac:dyDescent="0.2">
      <c r="A130" s="96">
        <v>127</v>
      </c>
      <c r="B130" s="113" t="s">
        <v>71</v>
      </c>
      <c r="C130" s="114">
        <v>9730805</v>
      </c>
      <c r="D130" s="115" t="s">
        <v>450</v>
      </c>
      <c r="E130" s="126">
        <v>44963</v>
      </c>
      <c r="F130" s="114" t="s">
        <v>17</v>
      </c>
      <c r="G130" s="96" t="s">
        <v>22</v>
      </c>
      <c r="H130" s="127">
        <v>4.93</v>
      </c>
      <c r="I130" s="96" t="s">
        <v>322</v>
      </c>
      <c r="J130" s="96">
        <v>2</v>
      </c>
      <c r="K130" s="97" t="s">
        <v>320</v>
      </c>
      <c r="L130" s="117"/>
    </row>
    <row r="131" spans="1:12" x14ac:dyDescent="0.2">
      <c r="A131" s="96">
        <v>128</v>
      </c>
      <c r="B131" s="113" t="s">
        <v>71</v>
      </c>
      <c r="C131" s="96">
        <v>76318502</v>
      </c>
      <c r="D131" s="113" t="s">
        <v>451</v>
      </c>
      <c r="E131" s="116">
        <v>40203</v>
      </c>
      <c r="F131" s="96" t="s">
        <v>21</v>
      </c>
      <c r="G131" s="96" t="s">
        <v>11</v>
      </c>
      <c r="H131" s="96">
        <v>4.66</v>
      </c>
      <c r="I131" s="96" t="s">
        <v>335</v>
      </c>
      <c r="J131" s="96">
        <v>2</v>
      </c>
      <c r="K131" s="97" t="s">
        <v>320</v>
      </c>
      <c r="L131" s="113"/>
    </row>
    <row r="132" spans="1:12" x14ac:dyDescent="0.2">
      <c r="A132" s="96">
        <v>129</v>
      </c>
      <c r="B132" s="113" t="s">
        <v>71</v>
      </c>
      <c r="C132" s="96">
        <v>76316780</v>
      </c>
      <c r="D132" s="113" t="s">
        <v>452</v>
      </c>
      <c r="E132" s="116">
        <v>38376</v>
      </c>
      <c r="F132" s="96" t="s">
        <v>21</v>
      </c>
      <c r="G132" s="96" t="s">
        <v>11</v>
      </c>
      <c r="H132" s="97">
        <v>4.92</v>
      </c>
      <c r="I132" s="96" t="s">
        <v>326</v>
      </c>
      <c r="J132" s="96">
        <v>2</v>
      </c>
      <c r="K132" s="97" t="s">
        <v>320</v>
      </c>
      <c r="L132" s="113"/>
    </row>
    <row r="133" spans="1:12" x14ac:dyDescent="0.2">
      <c r="A133" s="96">
        <v>130</v>
      </c>
      <c r="B133" s="113" t="s">
        <v>71</v>
      </c>
      <c r="C133" s="96">
        <v>17657692</v>
      </c>
      <c r="D133" s="113" t="s">
        <v>133</v>
      </c>
      <c r="E133" s="116">
        <v>40947</v>
      </c>
      <c r="F133" s="96" t="s">
        <v>21</v>
      </c>
      <c r="G133" s="96" t="s">
        <v>10</v>
      </c>
      <c r="H133" s="96">
        <v>4.82</v>
      </c>
      <c r="I133" s="96" t="s">
        <v>338</v>
      </c>
      <c r="J133" s="96">
        <v>2</v>
      </c>
      <c r="K133" s="97" t="s">
        <v>320</v>
      </c>
      <c r="L133" s="117"/>
    </row>
    <row r="134" spans="1:12" x14ac:dyDescent="0.2">
      <c r="A134" s="96">
        <v>131</v>
      </c>
      <c r="B134" s="113" t="s">
        <v>71</v>
      </c>
      <c r="C134" s="96">
        <v>76323234</v>
      </c>
      <c r="D134" s="113" t="s">
        <v>134</v>
      </c>
      <c r="E134" s="99">
        <v>41872</v>
      </c>
      <c r="F134" s="96" t="s">
        <v>21</v>
      </c>
      <c r="G134" s="96" t="s">
        <v>11</v>
      </c>
      <c r="H134" s="96">
        <v>4.8600000000000003</v>
      </c>
      <c r="I134" s="96" t="s">
        <v>338</v>
      </c>
      <c r="J134" s="96">
        <v>2</v>
      </c>
      <c r="K134" s="97" t="s">
        <v>320</v>
      </c>
      <c r="L134" s="117"/>
    </row>
    <row r="135" spans="1:12" x14ac:dyDescent="0.2">
      <c r="A135" s="96">
        <v>132</v>
      </c>
      <c r="B135" s="113" t="s">
        <v>71</v>
      </c>
      <c r="C135" s="96">
        <v>94453488</v>
      </c>
      <c r="D135" s="113" t="s">
        <v>453</v>
      </c>
      <c r="E135" s="116">
        <v>38376</v>
      </c>
      <c r="F135" s="96" t="s">
        <v>21</v>
      </c>
      <c r="G135" s="96" t="s">
        <v>11</v>
      </c>
      <c r="H135" s="96">
        <v>4.8499999999999996</v>
      </c>
      <c r="I135" s="96" t="s">
        <v>335</v>
      </c>
      <c r="J135" s="96">
        <v>2</v>
      </c>
      <c r="K135" s="97" t="s">
        <v>320</v>
      </c>
      <c r="L135" s="113"/>
    </row>
    <row r="136" spans="1:12" x14ac:dyDescent="0.2">
      <c r="A136" s="96">
        <v>133</v>
      </c>
      <c r="B136" s="113" t="s">
        <v>71</v>
      </c>
      <c r="C136" s="96">
        <v>16747204</v>
      </c>
      <c r="D136" s="113" t="s">
        <v>454</v>
      </c>
      <c r="E136" s="116">
        <v>37159</v>
      </c>
      <c r="F136" s="96" t="s">
        <v>17</v>
      </c>
      <c r="G136" s="96" t="s">
        <v>22</v>
      </c>
      <c r="H136" s="127">
        <v>4.95</v>
      </c>
      <c r="I136" s="97" t="s">
        <v>323</v>
      </c>
      <c r="J136" s="96">
        <v>2</v>
      </c>
      <c r="K136" s="97" t="s">
        <v>320</v>
      </c>
      <c r="L136" s="113"/>
    </row>
    <row r="137" spans="1:12" x14ac:dyDescent="0.2">
      <c r="A137" s="96">
        <v>134</v>
      </c>
      <c r="B137" s="113" t="s">
        <v>71</v>
      </c>
      <c r="C137" s="96">
        <v>18388816</v>
      </c>
      <c r="D137" s="113" t="s">
        <v>455</v>
      </c>
      <c r="E137" s="99">
        <v>42955</v>
      </c>
      <c r="F137" s="96" t="s">
        <v>17</v>
      </c>
      <c r="G137" s="96" t="s">
        <v>22</v>
      </c>
      <c r="H137" s="96">
        <v>4.47</v>
      </c>
      <c r="I137" s="96" t="s">
        <v>338</v>
      </c>
      <c r="J137" s="96">
        <v>1.6</v>
      </c>
      <c r="K137" s="97" t="s">
        <v>320</v>
      </c>
      <c r="L137" s="117"/>
    </row>
    <row r="138" spans="1:12" x14ac:dyDescent="0.2">
      <c r="A138" s="96">
        <v>135</v>
      </c>
      <c r="B138" s="113" t="s">
        <v>71</v>
      </c>
      <c r="C138" s="96">
        <v>94317593</v>
      </c>
      <c r="D138" s="113" t="s">
        <v>456</v>
      </c>
      <c r="E138" s="116">
        <v>38393</v>
      </c>
      <c r="F138" s="96" t="s">
        <v>17</v>
      </c>
      <c r="G138" s="96" t="s">
        <v>10</v>
      </c>
      <c r="H138" s="125">
        <v>4.8</v>
      </c>
      <c r="I138" s="96" t="s">
        <v>335</v>
      </c>
      <c r="J138" s="96">
        <v>2</v>
      </c>
      <c r="K138" s="97" t="s">
        <v>320</v>
      </c>
      <c r="L138" s="117"/>
    </row>
    <row r="139" spans="1:12" x14ac:dyDescent="0.2">
      <c r="A139" s="96">
        <v>136</v>
      </c>
      <c r="B139" s="113" t="s">
        <v>71</v>
      </c>
      <c r="C139" s="119">
        <v>18399636</v>
      </c>
      <c r="D139" s="113" t="s">
        <v>457</v>
      </c>
      <c r="E139" s="116">
        <v>40203</v>
      </c>
      <c r="F139" s="96" t="s">
        <v>21</v>
      </c>
      <c r="G139" s="96" t="s">
        <v>135</v>
      </c>
      <c r="H139" s="127">
        <v>4.95</v>
      </c>
      <c r="I139" s="97" t="s">
        <v>323</v>
      </c>
      <c r="J139" s="96">
        <v>2</v>
      </c>
      <c r="K139" s="97" t="s">
        <v>320</v>
      </c>
      <c r="L139" s="117"/>
    </row>
    <row r="140" spans="1:12" x14ac:dyDescent="0.2">
      <c r="A140" s="96">
        <v>137</v>
      </c>
      <c r="B140" s="113" t="s">
        <v>71</v>
      </c>
      <c r="C140" s="96">
        <v>89007514</v>
      </c>
      <c r="D140" s="113" t="s">
        <v>458</v>
      </c>
      <c r="E140" s="116">
        <v>37165</v>
      </c>
      <c r="F140" s="96" t="s">
        <v>21</v>
      </c>
      <c r="G140" s="96" t="s">
        <v>10</v>
      </c>
      <c r="H140" s="125">
        <v>4.9000000000000004</v>
      </c>
      <c r="I140" s="96" t="s">
        <v>335</v>
      </c>
      <c r="J140" s="96">
        <v>2</v>
      </c>
      <c r="K140" s="97" t="s">
        <v>320</v>
      </c>
      <c r="L140" s="117"/>
    </row>
    <row r="141" spans="1:12" ht="38.25" x14ac:dyDescent="0.2">
      <c r="A141" s="106">
        <v>138</v>
      </c>
      <c r="B141" s="107" t="s">
        <v>71</v>
      </c>
      <c r="C141" s="143">
        <v>9770373</v>
      </c>
      <c r="D141" s="108" t="s">
        <v>459</v>
      </c>
      <c r="E141" s="109">
        <v>43864</v>
      </c>
      <c r="F141" s="106" t="s">
        <v>17</v>
      </c>
      <c r="G141" s="106" t="s">
        <v>22</v>
      </c>
      <c r="H141" s="144">
        <v>4.83</v>
      </c>
      <c r="I141" s="106" t="s">
        <v>319</v>
      </c>
      <c r="J141" s="106">
        <v>2</v>
      </c>
      <c r="K141" s="110" t="s">
        <v>320</v>
      </c>
      <c r="L141" s="108" t="s">
        <v>460</v>
      </c>
    </row>
    <row r="142" spans="1:12" x14ac:dyDescent="0.2">
      <c r="A142" s="96">
        <v>139</v>
      </c>
      <c r="B142" s="113" t="s">
        <v>71</v>
      </c>
      <c r="C142" s="114">
        <v>1094901176</v>
      </c>
      <c r="D142" s="115" t="s">
        <v>136</v>
      </c>
      <c r="E142" s="126">
        <v>44977</v>
      </c>
      <c r="F142" s="96" t="s">
        <v>17</v>
      </c>
      <c r="G142" s="96" t="s">
        <v>22</v>
      </c>
      <c r="H142" s="127">
        <v>4.95</v>
      </c>
      <c r="I142" s="96" t="s">
        <v>322</v>
      </c>
      <c r="J142" s="96">
        <v>2</v>
      </c>
      <c r="K142" s="97" t="s">
        <v>320</v>
      </c>
      <c r="L142" s="117"/>
    </row>
    <row r="143" spans="1:12" x14ac:dyDescent="0.2">
      <c r="A143" s="96">
        <v>140</v>
      </c>
      <c r="B143" s="113" t="s">
        <v>71</v>
      </c>
      <c r="C143" s="96">
        <v>94528666</v>
      </c>
      <c r="D143" s="113" t="s">
        <v>461</v>
      </c>
      <c r="E143" s="116">
        <v>38762</v>
      </c>
      <c r="F143" s="96" t="s">
        <v>21</v>
      </c>
      <c r="G143" s="96" t="s">
        <v>22</v>
      </c>
      <c r="H143" s="125">
        <v>4.92</v>
      </c>
      <c r="I143" s="96" t="s">
        <v>335</v>
      </c>
      <c r="J143" s="96">
        <v>2</v>
      </c>
      <c r="K143" s="97" t="s">
        <v>320</v>
      </c>
      <c r="L143" s="117"/>
    </row>
    <row r="144" spans="1:12" ht="25.5" x14ac:dyDescent="0.2">
      <c r="A144" s="120">
        <v>141</v>
      </c>
      <c r="B144" s="122" t="s">
        <v>462</v>
      </c>
      <c r="C144" s="145">
        <v>7540648</v>
      </c>
      <c r="D144" s="122" t="s">
        <v>463</v>
      </c>
      <c r="E144" s="123">
        <v>42955</v>
      </c>
      <c r="F144" s="120" t="s">
        <v>17</v>
      </c>
      <c r="G144" s="120" t="s">
        <v>10</v>
      </c>
      <c r="H144" s="138">
        <v>5</v>
      </c>
      <c r="I144" s="124" t="s">
        <v>323</v>
      </c>
      <c r="J144" s="120">
        <v>2</v>
      </c>
      <c r="K144" s="124" t="s">
        <v>331</v>
      </c>
      <c r="L144" s="121" t="s">
        <v>137</v>
      </c>
    </row>
    <row r="145" spans="1:12" x14ac:dyDescent="0.2">
      <c r="A145" s="96">
        <v>142</v>
      </c>
      <c r="B145" s="113" t="s">
        <v>462</v>
      </c>
      <c r="C145" s="119">
        <v>89007517</v>
      </c>
      <c r="D145" s="113" t="s">
        <v>464</v>
      </c>
      <c r="E145" s="116">
        <v>42955</v>
      </c>
      <c r="F145" s="96" t="s">
        <v>21</v>
      </c>
      <c r="G145" s="96" t="s">
        <v>10</v>
      </c>
      <c r="H145" s="127">
        <v>4.91</v>
      </c>
      <c r="I145" s="96" t="s">
        <v>323</v>
      </c>
      <c r="J145" s="96">
        <v>2</v>
      </c>
      <c r="K145" s="97" t="s">
        <v>320</v>
      </c>
      <c r="L145" s="117"/>
    </row>
    <row r="146" spans="1:12" x14ac:dyDescent="0.2">
      <c r="A146" s="96">
        <v>143</v>
      </c>
      <c r="B146" s="113" t="s">
        <v>462</v>
      </c>
      <c r="C146" s="96">
        <v>7530842</v>
      </c>
      <c r="D146" s="113" t="s">
        <v>138</v>
      </c>
      <c r="E146" s="116">
        <v>34171</v>
      </c>
      <c r="F146" s="96" t="s">
        <v>17</v>
      </c>
      <c r="G146" s="96" t="s">
        <v>10</v>
      </c>
      <c r="H146" s="127">
        <v>4.83</v>
      </c>
      <c r="I146" s="96" t="s">
        <v>335</v>
      </c>
      <c r="J146" s="96">
        <v>2</v>
      </c>
      <c r="K146" s="97" t="s">
        <v>320</v>
      </c>
      <c r="L146" s="117"/>
    </row>
    <row r="147" spans="1:12" x14ac:dyDescent="0.2">
      <c r="A147" s="96">
        <v>144</v>
      </c>
      <c r="B147" s="113" t="s">
        <v>462</v>
      </c>
      <c r="C147" s="96">
        <v>7540504</v>
      </c>
      <c r="D147" s="113" t="s">
        <v>465</v>
      </c>
      <c r="E147" s="116">
        <v>34171</v>
      </c>
      <c r="F147" s="96" t="s">
        <v>17</v>
      </c>
      <c r="G147" s="96" t="s">
        <v>11</v>
      </c>
      <c r="H147" s="127">
        <v>4.91</v>
      </c>
      <c r="I147" s="96" t="s">
        <v>326</v>
      </c>
      <c r="J147" s="96">
        <v>2</v>
      </c>
      <c r="K147" s="97" t="s">
        <v>320</v>
      </c>
      <c r="L147" s="117"/>
    </row>
    <row r="148" spans="1:12" x14ac:dyDescent="0.2">
      <c r="A148" s="96">
        <v>145</v>
      </c>
      <c r="B148" s="113" t="s">
        <v>462</v>
      </c>
      <c r="C148" s="130">
        <v>18470142</v>
      </c>
      <c r="D148" s="115" t="s">
        <v>139</v>
      </c>
      <c r="E148" s="126">
        <v>44963</v>
      </c>
      <c r="F148" s="114" t="s">
        <v>17</v>
      </c>
      <c r="G148" s="96" t="s">
        <v>22</v>
      </c>
      <c r="H148" s="127">
        <v>4.99</v>
      </c>
      <c r="I148" s="96" t="s">
        <v>322</v>
      </c>
      <c r="J148" s="96">
        <v>2</v>
      </c>
      <c r="K148" s="97" t="s">
        <v>320</v>
      </c>
      <c r="L148" s="117"/>
    </row>
    <row r="149" spans="1:12" x14ac:dyDescent="0.2">
      <c r="A149" s="96">
        <v>146</v>
      </c>
      <c r="B149" s="113" t="s">
        <v>462</v>
      </c>
      <c r="C149" s="96">
        <v>88141692</v>
      </c>
      <c r="D149" s="113" t="s">
        <v>466</v>
      </c>
      <c r="E149" s="116">
        <v>34834</v>
      </c>
      <c r="F149" s="96" t="s">
        <v>21</v>
      </c>
      <c r="G149" s="96" t="s">
        <v>22</v>
      </c>
      <c r="H149" s="127">
        <v>4.96</v>
      </c>
      <c r="I149" s="96" t="s">
        <v>323</v>
      </c>
      <c r="J149" s="96">
        <v>2</v>
      </c>
      <c r="K149" s="97" t="s">
        <v>320</v>
      </c>
      <c r="L149" s="117"/>
    </row>
    <row r="150" spans="1:12" x14ac:dyDescent="0.2">
      <c r="A150" s="96">
        <v>147</v>
      </c>
      <c r="B150" s="113" t="s">
        <v>462</v>
      </c>
      <c r="C150" s="96">
        <v>14267648</v>
      </c>
      <c r="D150" s="113" t="s">
        <v>467</v>
      </c>
      <c r="E150" s="116">
        <v>31489</v>
      </c>
      <c r="F150" s="96" t="s">
        <v>110</v>
      </c>
      <c r="G150" s="96" t="s">
        <v>10</v>
      </c>
      <c r="H150" s="127">
        <v>4.74</v>
      </c>
      <c r="I150" s="96" t="s">
        <v>323</v>
      </c>
      <c r="J150" s="96">
        <v>2</v>
      </c>
      <c r="K150" s="97" t="s">
        <v>320</v>
      </c>
      <c r="L150" s="117"/>
    </row>
    <row r="151" spans="1:12" x14ac:dyDescent="0.2">
      <c r="A151" s="96">
        <v>148</v>
      </c>
      <c r="B151" s="113" t="s">
        <v>468</v>
      </c>
      <c r="C151" s="96">
        <v>16356361</v>
      </c>
      <c r="D151" s="113" t="s">
        <v>140</v>
      </c>
      <c r="E151" s="116">
        <v>36923</v>
      </c>
      <c r="F151" s="96" t="s">
        <v>21</v>
      </c>
      <c r="G151" s="96" t="s">
        <v>11</v>
      </c>
      <c r="H151" s="127">
        <v>5</v>
      </c>
      <c r="I151" s="96" t="s">
        <v>323</v>
      </c>
      <c r="J151" s="96">
        <v>2</v>
      </c>
      <c r="K151" s="97" t="s">
        <v>320</v>
      </c>
      <c r="L151" s="117"/>
    </row>
    <row r="152" spans="1:12" x14ac:dyDescent="0.2">
      <c r="A152" s="96">
        <v>149</v>
      </c>
      <c r="B152" s="113" t="s">
        <v>468</v>
      </c>
      <c r="C152" s="96">
        <v>41885303</v>
      </c>
      <c r="D152" s="113" t="s">
        <v>469</v>
      </c>
      <c r="E152" s="116">
        <v>35828</v>
      </c>
      <c r="F152" s="96" t="s">
        <v>21</v>
      </c>
      <c r="G152" s="96" t="s">
        <v>11</v>
      </c>
      <c r="H152" s="127">
        <v>4.9400000000000004</v>
      </c>
      <c r="I152" s="96" t="s">
        <v>326</v>
      </c>
      <c r="J152" s="96">
        <v>2</v>
      </c>
      <c r="K152" s="97" t="s">
        <v>320</v>
      </c>
      <c r="L152" s="117"/>
    </row>
    <row r="153" spans="1:12" ht="25.5" x14ac:dyDescent="0.2">
      <c r="A153" s="96">
        <v>150</v>
      </c>
      <c r="B153" s="117" t="s">
        <v>74</v>
      </c>
      <c r="C153" s="96">
        <v>89006712</v>
      </c>
      <c r="D153" s="113" t="s">
        <v>470</v>
      </c>
      <c r="E153" s="116">
        <v>41436</v>
      </c>
      <c r="F153" s="96" t="s">
        <v>21</v>
      </c>
      <c r="G153" s="96" t="s">
        <v>10</v>
      </c>
      <c r="H153" s="127">
        <v>4.8499999999999996</v>
      </c>
      <c r="I153" s="96" t="s">
        <v>338</v>
      </c>
      <c r="J153" s="96">
        <v>2</v>
      </c>
      <c r="K153" s="97" t="s">
        <v>320</v>
      </c>
      <c r="L153" s="117"/>
    </row>
    <row r="154" spans="1:12" ht="25.5" x14ac:dyDescent="0.2">
      <c r="A154" s="96">
        <v>151</v>
      </c>
      <c r="B154" s="117" t="s">
        <v>74</v>
      </c>
      <c r="C154" s="96">
        <v>10481831</v>
      </c>
      <c r="D154" s="113" t="s">
        <v>471</v>
      </c>
      <c r="E154" s="116">
        <v>38803</v>
      </c>
      <c r="F154" s="96" t="s">
        <v>21</v>
      </c>
      <c r="G154" s="96" t="s">
        <v>22</v>
      </c>
      <c r="H154" s="96">
        <v>4.37</v>
      </c>
      <c r="I154" s="96" t="s">
        <v>338</v>
      </c>
      <c r="J154" s="96">
        <v>1.6</v>
      </c>
      <c r="K154" s="97" t="s">
        <v>320</v>
      </c>
      <c r="L154" s="117"/>
    </row>
    <row r="155" spans="1:12" ht="25.5" x14ac:dyDescent="0.2">
      <c r="A155" s="96">
        <v>152</v>
      </c>
      <c r="B155" s="117" t="s">
        <v>74</v>
      </c>
      <c r="C155" s="96">
        <v>7528714</v>
      </c>
      <c r="D155" s="113" t="s">
        <v>472</v>
      </c>
      <c r="E155" s="116">
        <v>38026</v>
      </c>
      <c r="F155" s="96" t="s">
        <v>429</v>
      </c>
      <c r="G155" s="96" t="s">
        <v>11</v>
      </c>
      <c r="H155" s="96">
        <v>4.88</v>
      </c>
      <c r="I155" s="97" t="s">
        <v>323</v>
      </c>
      <c r="J155" s="96">
        <v>2</v>
      </c>
      <c r="K155" s="97" t="s">
        <v>320</v>
      </c>
      <c r="L155" s="117"/>
    </row>
    <row r="156" spans="1:12" ht="25.5" x14ac:dyDescent="0.2">
      <c r="A156" s="96">
        <v>153</v>
      </c>
      <c r="B156" s="117" t="s">
        <v>74</v>
      </c>
      <c r="C156" s="119">
        <v>52377890</v>
      </c>
      <c r="D156" s="136" t="s">
        <v>473</v>
      </c>
      <c r="E156" s="99">
        <v>42955</v>
      </c>
      <c r="F156" s="96" t="s">
        <v>21</v>
      </c>
      <c r="G156" s="96" t="s">
        <v>10</v>
      </c>
      <c r="H156" s="96">
        <v>4.93</v>
      </c>
      <c r="I156" s="96" t="s">
        <v>335</v>
      </c>
      <c r="J156" s="96">
        <v>2</v>
      </c>
      <c r="K156" s="97" t="s">
        <v>320</v>
      </c>
      <c r="L156" s="117"/>
    </row>
    <row r="157" spans="1:12" ht="25.5" x14ac:dyDescent="0.2">
      <c r="A157" s="120">
        <v>154</v>
      </c>
      <c r="B157" s="121" t="s">
        <v>74</v>
      </c>
      <c r="C157" s="120">
        <v>52079098</v>
      </c>
      <c r="D157" s="122" t="s">
        <v>474</v>
      </c>
      <c r="E157" s="123">
        <v>39660</v>
      </c>
      <c r="F157" s="120" t="s">
        <v>21</v>
      </c>
      <c r="G157" s="120" t="s">
        <v>11</v>
      </c>
      <c r="H157" s="124">
        <v>4.78</v>
      </c>
      <c r="I157" s="124" t="s">
        <v>323</v>
      </c>
      <c r="J157" s="120">
        <v>2</v>
      </c>
      <c r="K157" s="124" t="s">
        <v>331</v>
      </c>
      <c r="L157" s="121" t="s">
        <v>475</v>
      </c>
    </row>
    <row r="158" spans="1:12" ht="25.5" x14ac:dyDescent="0.2">
      <c r="A158" s="96">
        <v>155</v>
      </c>
      <c r="B158" s="117" t="s">
        <v>74</v>
      </c>
      <c r="C158" s="96">
        <v>24805870</v>
      </c>
      <c r="D158" s="113" t="s">
        <v>476</v>
      </c>
      <c r="E158" s="116">
        <v>35828</v>
      </c>
      <c r="F158" s="96" t="s">
        <v>21</v>
      </c>
      <c r="G158" s="96" t="s">
        <v>11</v>
      </c>
      <c r="H158" s="96">
        <v>4.8899999999999997</v>
      </c>
      <c r="I158" s="96" t="s">
        <v>335</v>
      </c>
      <c r="J158" s="96">
        <v>2</v>
      </c>
      <c r="K158" s="97" t="s">
        <v>320</v>
      </c>
      <c r="L158" s="117"/>
    </row>
    <row r="159" spans="1:12" ht="25.5" x14ac:dyDescent="0.2">
      <c r="A159" s="96">
        <v>156</v>
      </c>
      <c r="B159" s="117" t="s">
        <v>74</v>
      </c>
      <c r="C159" s="96">
        <v>41906827</v>
      </c>
      <c r="D159" s="113" t="s">
        <v>477</v>
      </c>
      <c r="E159" s="116">
        <v>35828</v>
      </c>
      <c r="F159" s="96" t="s">
        <v>17</v>
      </c>
      <c r="G159" s="96" t="s">
        <v>10</v>
      </c>
      <c r="H159" s="96">
        <v>4.83</v>
      </c>
      <c r="I159" s="96" t="s">
        <v>335</v>
      </c>
      <c r="J159" s="96">
        <v>2</v>
      </c>
      <c r="K159" s="97" t="s">
        <v>320</v>
      </c>
      <c r="L159" s="117"/>
    </row>
    <row r="160" spans="1:12" ht="25.5" x14ac:dyDescent="0.2">
      <c r="A160" s="96">
        <v>157</v>
      </c>
      <c r="B160" s="117" t="s">
        <v>26</v>
      </c>
      <c r="C160" s="96">
        <v>75079723</v>
      </c>
      <c r="D160" s="113" t="s">
        <v>478</v>
      </c>
      <c r="E160" s="116">
        <v>39664</v>
      </c>
      <c r="F160" s="96" t="s">
        <v>21</v>
      </c>
      <c r="G160" s="96" t="s">
        <v>11</v>
      </c>
      <c r="H160" s="127">
        <v>4.82</v>
      </c>
      <c r="I160" s="96" t="s">
        <v>335</v>
      </c>
      <c r="J160" s="96">
        <v>2</v>
      </c>
      <c r="K160" s="97" t="s">
        <v>320</v>
      </c>
      <c r="L160" s="117"/>
    </row>
    <row r="161" spans="1:12" ht="25.5" x14ac:dyDescent="0.2">
      <c r="A161" s="96">
        <v>158</v>
      </c>
      <c r="B161" s="117" t="s">
        <v>26</v>
      </c>
      <c r="C161" s="114">
        <v>1094882594</v>
      </c>
      <c r="D161" s="115" t="s">
        <v>479</v>
      </c>
      <c r="E161" s="126">
        <v>44963</v>
      </c>
      <c r="F161" s="114" t="s">
        <v>17</v>
      </c>
      <c r="G161" s="96" t="s">
        <v>22</v>
      </c>
      <c r="H161" s="127">
        <v>4.8099999999999996</v>
      </c>
      <c r="I161" s="96" t="s">
        <v>322</v>
      </c>
      <c r="J161" s="96">
        <v>2</v>
      </c>
      <c r="K161" s="97" t="s">
        <v>320</v>
      </c>
      <c r="L161" s="117"/>
    </row>
    <row r="162" spans="1:12" ht="25.5" x14ac:dyDescent="0.2">
      <c r="A162" s="96">
        <v>159</v>
      </c>
      <c r="B162" s="117" t="s">
        <v>26</v>
      </c>
      <c r="C162" s="96">
        <v>7555178</v>
      </c>
      <c r="D162" s="113" t="s">
        <v>141</v>
      </c>
      <c r="E162" s="116">
        <v>39660</v>
      </c>
      <c r="F162" s="96" t="s">
        <v>21</v>
      </c>
      <c r="G162" s="96" t="s">
        <v>10</v>
      </c>
      <c r="H162" s="96">
        <v>4.53</v>
      </c>
      <c r="I162" s="96" t="s">
        <v>327</v>
      </c>
      <c r="J162" s="96">
        <v>2</v>
      </c>
      <c r="K162" s="97" t="s">
        <v>320</v>
      </c>
      <c r="L162" s="117"/>
    </row>
    <row r="163" spans="1:12" ht="25.5" x14ac:dyDescent="0.2">
      <c r="A163" s="96">
        <v>160</v>
      </c>
      <c r="B163" s="117" t="s">
        <v>26</v>
      </c>
      <c r="C163" s="96">
        <v>17655304</v>
      </c>
      <c r="D163" s="113" t="s">
        <v>480</v>
      </c>
      <c r="E163" s="116">
        <v>40947</v>
      </c>
      <c r="F163" s="96" t="s">
        <v>21</v>
      </c>
      <c r="G163" s="96" t="s">
        <v>11</v>
      </c>
      <c r="H163" s="125">
        <v>4.9000000000000004</v>
      </c>
      <c r="I163" s="96" t="s">
        <v>353</v>
      </c>
      <c r="J163" s="96">
        <v>2</v>
      </c>
      <c r="K163" s="97" t="s">
        <v>320</v>
      </c>
      <c r="L163" s="117" t="s">
        <v>481</v>
      </c>
    </row>
    <row r="164" spans="1:12" ht="25.5" x14ac:dyDescent="0.2">
      <c r="A164" s="96">
        <v>161</v>
      </c>
      <c r="B164" s="117" t="s">
        <v>26</v>
      </c>
      <c r="C164" s="96">
        <v>16185584</v>
      </c>
      <c r="D164" s="113" t="s">
        <v>482</v>
      </c>
      <c r="E164" s="116">
        <v>40947</v>
      </c>
      <c r="F164" s="96" t="s">
        <v>17</v>
      </c>
      <c r="G164" s="96" t="s">
        <v>10</v>
      </c>
      <c r="H164" s="127">
        <v>4.8600000000000003</v>
      </c>
      <c r="I164" s="96" t="s">
        <v>326</v>
      </c>
      <c r="J164" s="96">
        <v>2</v>
      </c>
      <c r="K164" s="97" t="s">
        <v>320</v>
      </c>
      <c r="L164" s="117"/>
    </row>
    <row r="165" spans="1:12" ht="25.5" x14ac:dyDescent="0.2">
      <c r="A165" s="96">
        <v>162</v>
      </c>
      <c r="B165" s="117" t="s">
        <v>26</v>
      </c>
      <c r="C165" s="114">
        <v>1094885534</v>
      </c>
      <c r="D165" s="115" t="s">
        <v>483</v>
      </c>
      <c r="E165" s="126">
        <v>44963</v>
      </c>
      <c r="F165" s="96" t="s">
        <v>21</v>
      </c>
      <c r="G165" s="96" t="s">
        <v>22</v>
      </c>
      <c r="H165" s="127">
        <v>4.92</v>
      </c>
      <c r="I165" s="96" t="s">
        <v>322</v>
      </c>
      <c r="J165" s="96">
        <v>2</v>
      </c>
      <c r="K165" s="97" t="s">
        <v>320</v>
      </c>
      <c r="L165" s="117"/>
    </row>
    <row r="166" spans="1:12" x14ac:dyDescent="0.2">
      <c r="A166" s="96">
        <v>163</v>
      </c>
      <c r="B166" s="113" t="s">
        <v>484</v>
      </c>
      <c r="C166" s="96">
        <v>7532303</v>
      </c>
      <c r="D166" s="117" t="s">
        <v>485</v>
      </c>
      <c r="E166" s="116">
        <v>35828</v>
      </c>
      <c r="F166" s="96" t="s">
        <v>17</v>
      </c>
      <c r="G166" s="96" t="s">
        <v>11</v>
      </c>
      <c r="H166" s="96">
        <v>4.8099999999999996</v>
      </c>
      <c r="I166" s="96" t="s">
        <v>335</v>
      </c>
      <c r="J166" s="96">
        <v>2</v>
      </c>
      <c r="K166" s="97" t="s">
        <v>320</v>
      </c>
      <c r="L166" s="117"/>
    </row>
    <row r="167" spans="1:12" x14ac:dyDescent="0.2">
      <c r="A167" s="96">
        <v>164</v>
      </c>
      <c r="B167" s="113" t="s">
        <v>484</v>
      </c>
      <c r="C167" s="96">
        <v>41931649</v>
      </c>
      <c r="D167" s="113" t="s">
        <v>486</v>
      </c>
      <c r="E167" s="116">
        <v>41872</v>
      </c>
      <c r="F167" s="96" t="s">
        <v>21</v>
      </c>
      <c r="G167" s="96" t="s">
        <v>11</v>
      </c>
      <c r="H167" s="96">
        <v>4.96</v>
      </c>
      <c r="I167" s="96" t="s">
        <v>338</v>
      </c>
      <c r="J167" s="96">
        <v>2</v>
      </c>
      <c r="K167" s="97" t="s">
        <v>320</v>
      </c>
      <c r="L167" s="117"/>
    </row>
    <row r="168" spans="1:12" x14ac:dyDescent="0.2">
      <c r="A168" s="96">
        <v>165</v>
      </c>
      <c r="B168" s="113" t="s">
        <v>484</v>
      </c>
      <c r="C168" s="96">
        <v>7554769</v>
      </c>
      <c r="D168" s="113" t="s">
        <v>487</v>
      </c>
      <c r="E168" s="116">
        <v>35326</v>
      </c>
      <c r="F168" s="96" t="s">
        <v>17</v>
      </c>
      <c r="G168" s="96" t="s">
        <v>11</v>
      </c>
      <c r="H168" s="96">
        <v>4.84</v>
      </c>
      <c r="I168" s="96" t="s">
        <v>323</v>
      </c>
      <c r="J168" s="96">
        <v>2</v>
      </c>
      <c r="K168" s="97" t="s">
        <v>320</v>
      </c>
      <c r="L168" s="117"/>
    </row>
    <row r="169" spans="1:12" x14ac:dyDescent="0.2">
      <c r="A169" s="96">
        <v>166</v>
      </c>
      <c r="B169" s="113" t="s">
        <v>484</v>
      </c>
      <c r="C169" s="96">
        <v>7555343</v>
      </c>
      <c r="D169" s="113" t="s">
        <v>488</v>
      </c>
      <c r="E169" s="116">
        <v>34171</v>
      </c>
      <c r="F169" s="96" t="s">
        <v>21</v>
      </c>
      <c r="G169" s="96" t="s">
        <v>11</v>
      </c>
      <c r="H169" s="96">
        <v>4.87</v>
      </c>
      <c r="I169" s="96" t="s">
        <v>323</v>
      </c>
      <c r="J169" s="96">
        <v>2</v>
      </c>
      <c r="K169" s="97" t="s">
        <v>320</v>
      </c>
      <c r="L169" s="117"/>
    </row>
    <row r="170" spans="1:12" x14ac:dyDescent="0.2">
      <c r="A170" s="96">
        <v>167</v>
      </c>
      <c r="B170" s="113" t="s">
        <v>484</v>
      </c>
      <c r="C170" s="96">
        <v>41885800</v>
      </c>
      <c r="D170" s="113" t="s">
        <v>489</v>
      </c>
      <c r="E170" s="116">
        <v>32554</v>
      </c>
      <c r="F170" s="96" t="s">
        <v>17</v>
      </c>
      <c r="G170" s="96" t="s">
        <v>11</v>
      </c>
      <c r="H170" s="96">
        <v>4.92</v>
      </c>
      <c r="I170" s="96" t="s">
        <v>323</v>
      </c>
      <c r="J170" s="96">
        <v>2</v>
      </c>
      <c r="K170" s="97" t="s">
        <v>403</v>
      </c>
      <c r="L170" s="117"/>
    </row>
    <row r="171" spans="1:12" ht="25.5" x14ac:dyDescent="0.2">
      <c r="A171" s="96">
        <v>174</v>
      </c>
      <c r="B171" s="117" t="s">
        <v>490</v>
      </c>
      <c r="C171" s="96">
        <v>41936764</v>
      </c>
      <c r="D171" s="113" t="s">
        <v>142</v>
      </c>
      <c r="E171" s="99">
        <v>41872</v>
      </c>
      <c r="F171" s="96" t="s">
        <v>21</v>
      </c>
      <c r="G171" s="96" t="s">
        <v>11</v>
      </c>
      <c r="H171" s="127">
        <v>4.97</v>
      </c>
      <c r="I171" s="96" t="s">
        <v>338</v>
      </c>
      <c r="J171" s="96">
        <v>2</v>
      </c>
      <c r="K171" s="97" t="s">
        <v>320</v>
      </c>
      <c r="L171" s="117"/>
    </row>
    <row r="172" spans="1:12" ht="25.5" x14ac:dyDescent="0.2">
      <c r="A172" s="96">
        <v>175</v>
      </c>
      <c r="B172" s="117" t="s">
        <v>490</v>
      </c>
      <c r="C172" s="96">
        <v>7561489</v>
      </c>
      <c r="D172" s="113" t="s">
        <v>491</v>
      </c>
      <c r="E172" s="116">
        <v>39664</v>
      </c>
      <c r="F172" s="96" t="s">
        <v>17</v>
      </c>
      <c r="G172" s="96" t="s">
        <v>59</v>
      </c>
      <c r="H172" s="147">
        <v>4.83</v>
      </c>
      <c r="I172" s="96" t="s">
        <v>335</v>
      </c>
      <c r="J172" s="96">
        <v>2</v>
      </c>
      <c r="K172" s="97" t="s">
        <v>320</v>
      </c>
      <c r="L172" s="117"/>
    </row>
    <row r="173" spans="1:12" ht="38.25" x14ac:dyDescent="0.2">
      <c r="A173" s="106">
        <v>176</v>
      </c>
      <c r="B173" s="108" t="s">
        <v>490</v>
      </c>
      <c r="C173" s="106">
        <v>1094911213</v>
      </c>
      <c r="D173" s="107" t="s">
        <v>143</v>
      </c>
      <c r="E173" s="142">
        <v>43864</v>
      </c>
      <c r="F173" s="106" t="s">
        <v>17</v>
      </c>
      <c r="G173" s="106" t="s">
        <v>10</v>
      </c>
      <c r="H173" s="106">
        <v>4.91</v>
      </c>
      <c r="I173" s="106" t="s">
        <v>322</v>
      </c>
      <c r="J173" s="106">
        <v>2</v>
      </c>
      <c r="K173" s="106" t="s">
        <v>320</v>
      </c>
      <c r="L173" s="108" t="s">
        <v>492</v>
      </c>
    </row>
    <row r="174" spans="1:12" ht="25.5" x14ac:dyDescent="0.2">
      <c r="A174" s="96">
        <v>177</v>
      </c>
      <c r="B174" s="117" t="s">
        <v>490</v>
      </c>
      <c r="C174" s="96">
        <v>52105400</v>
      </c>
      <c r="D174" s="113" t="s">
        <v>493</v>
      </c>
      <c r="E174" s="116">
        <v>40947</v>
      </c>
      <c r="F174" s="96" t="s">
        <v>17</v>
      </c>
      <c r="G174" s="96" t="s">
        <v>59</v>
      </c>
      <c r="H174" s="147">
        <v>4.74</v>
      </c>
      <c r="I174" s="96" t="s">
        <v>323</v>
      </c>
      <c r="J174" s="96">
        <v>2</v>
      </c>
      <c r="K174" s="97" t="s">
        <v>320</v>
      </c>
      <c r="L174" s="117"/>
    </row>
    <row r="175" spans="1:12" ht="25.5" x14ac:dyDescent="0.2">
      <c r="A175" s="96">
        <v>178</v>
      </c>
      <c r="B175" s="117" t="s">
        <v>490</v>
      </c>
      <c r="C175" s="96">
        <v>18387759</v>
      </c>
      <c r="D175" s="113" t="s">
        <v>494</v>
      </c>
      <c r="E175" s="116">
        <v>40947</v>
      </c>
      <c r="F175" s="96" t="s">
        <v>17</v>
      </c>
      <c r="G175" s="96" t="s">
        <v>10</v>
      </c>
      <c r="H175" s="147">
        <v>4.93</v>
      </c>
      <c r="I175" s="96" t="s">
        <v>323</v>
      </c>
      <c r="J175" s="96">
        <v>2</v>
      </c>
      <c r="K175" s="97" t="s">
        <v>320</v>
      </c>
      <c r="L175" s="117"/>
    </row>
    <row r="176" spans="1:12" ht="25.5" x14ac:dyDescent="0.2">
      <c r="A176" s="96">
        <v>179</v>
      </c>
      <c r="B176" s="117" t="s">
        <v>490</v>
      </c>
      <c r="C176" s="119">
        <v>1094909209</v>
      </c>
      <c r="D176" s="136" t="s">
        <v>144</v>
      </c>
      <c r="E176" s="116">
        <v>41673</v>
      </c>
      <c r="F176" s="96" t="s">
        <v>17</v>
      </c>
      <c r="G176" s="96" t="s">
        <v>59</v>
      </c>
      <c r="H176" s="147">
        <v>4.8099999999999996</v>
      </c>
      <c r="I176" s="96" t="s">
        <v>323</v>
      </c>
      <c r="J176" s="96">
        <v>2</v>
      </c>
      <c r="K176" s="97" t="s">
        <v>320</v>
      </c>
      <c r="L176" s="117"/>
    </row>
    <row r="177" spans="1:12" ht="25.5" x14ac:dyDescent="0.2">
      <c r="A177" s="96">
        <v>180</v>
      </c>
      <c r="B177" s="117" t="s">
        <v>490</v>
      </c>
      <c r="C177" s="96">
        <v>10122357</v>
      </c>
      <c r="D177" s="113" t="s">
        <v>495</v>
      </c>
      <c r="E177" s="116">
        <v>38040</v>
      </c>
      <c r="F177" s="96" t="s">
        <v>17</v>
      </c>
      <c r="G177" s="96" t="s">
        <v>22</v>
      </c>
      <c r="H177" s="97">
        <v>4.93</v>
      </c>
      <c r="I177" s="96" t="s">
        <v>338</v>
      </c>
      <c r="J177" s="96">
        <v>2</v>
      </c>
      <c r="K177" s="97" t="s">
        <v>320</v>
      </c>
      <c r="L177" s="117"/>
    </row>
    <row r="178" spans="1:12" ht="25.5" x14ac:dyDescent="0.2">
      <c r="A178" s="96">
        <v>181</v>
      </c>
      <c r="B178" s="117" t="s">
        <v>490</v>
      </c>
      <c r="C178" s="114">
        <v>41959302</v>
      </c>
      <c r="D178" s="115" t="s">
        <v>496</v>
      </c>
      <c r="E178" s="126">
        <v>44963</v>
      </c>
      <c r="F178" s="114" t="s">
        <v>21</v>
      </c>
      <c r="G178" s="96" t="s">
        <v>22</v>
      </c>
      <c r="H178" s="127">
        <v>4.84</v>
      </c>
      <c r="I178" s="96" t="s">
        <v>322</v>
      </c>
      <c r="J178" s="96">
        <v>2</v>
      </c>
      <c r="K178" s="97" t="s">
        <v>320</v>
      </c>
      <c r="L178" s="117"/>
    </row>
    <row r="179" spans="1:12" ht="25.5" x14ac:dyDescent="0.2">
      <c r="A179" s="96">
        <v>182</v>
      </c>
      <c r="B179" s="117" t="s">
        <v>490</v>
      </c>
      <c r="C179" s="114">
        <v>1102042502</v>
      </c>
      <c r="D179" s="115" t="s">
        <v>497</v>
      </c>
      <c r="E179" s="126">
        <v>44963</v>
      </c>
      <c r="F179" s="96" t="s">
        <v>21</v>
      </c>
      <c r="G179" s="96" t="s">
        <v>22</v>
      </c>
      <c r="H179" s="127">
        <v>4.99</v>
      </c>
      <c r="I179" s="96" t="s">
        <v>322</v>
      </c>
      <c r="J179" s="96">
        <v>2</v>
      </c>
      <c r="K179" s="97" t="s">
        <v>320</v>
      </c>
      <c r="L179" s="117"/>
    </row>
    <row r="180" spans="1:12" ht="25.5" x14ac:dyDescent="0.2">
      <c r="A180" s="96">
        <v>183</v>
      </c>
      <c r="B180" s="117" t="s">
        <v>490</v>
      </c>
      <c r="C180" s="119">
        <v>41937649</v>
      </c>
      <c r="D180" s="113" t="s">
        <v>145</v>
      </c>
      <c r="E180" s="99">
        <v>42955</v>
      </c>
      <c r="F180" s="96" t="s">
        <v>17</v>
      </c>
      <c r="G180" s="96" t="s">
        <v>22</v>
      </c>
      <c r="H180" s="97">
        <v>4.97</v>
      </c>
      <c r="I180" s="96" t="s">
        <v>338</v>
      </c>
      <c r="J180" s="96">
        <v>2</v>
      </c>
      <c r="K180" s="97" t="s">
        <v>320</v>
      </c>
      <c r="L180" s="117"/>
    </row>
    <row r="181" spans="1:12" ht="25.5" x14ac:dyDescent="0.2">
      <c r="A181" s="120">
        <v>184</v>
      </c>
      <c r="B181" s="121" t="s">
        <v>490</v>
      </c>
      <c r="C181" s="145">
        <v>89000820</v>
      </c>
      <c r="D181" s="146" t="s">
        <v>498</v>
      </c>
      <c r="E181" s="128">
        <v>41872</v>
      </c>
      <c r="F181" s="120" t="s">
        <v>17</v>
      </c>
      <c r="G181" s="120" t="s">
        <v>22</v>
      </c>
      <c r="H181" s="120">
        <v>4.91</v>
      </c>
      <c r="I181" s="120" t="s">
        <v>323</v>
      </c>
      <c r="J181" s="120">
        <v>2</v>
      </c>
      <c r="K181" s="124" t="s">
        <v>331</v>
      </c>
      <c r="L181" s="121" t="s">
        <v>146</v>
      </c>
    </row>
    <row r="182" spans="1:12" ht="25.5" x14ac:dyDescent="0.2">
      <c r="A182" s="96">
        <v>185</v>
      </c>
      <c r="B182" s="117" t="s">
        <v>490</v>
      </c>
      <c r="C182" s="96">
        <v>42007084</v>
      </c>
      <c r="D182" s="113" t="s">
        <v>499</v>
      </c>
      <c r="E182" s="116">
        <v>37165</v>
      </c>
      <c r="F182" s="96" t="s">
        <v>21</v>
      </c>
      <c r="G182" s="96" t="s">
        <v>11</v>
      </c>
      <c r="H182" s="147">
        <v>4.8600000000000003</v>
      </c>
      <c r="I182" s="96" t="s">
        <v>323</v>
      </c>
      <c r="J182" s="96">
        <v>2</v>
      </c>
      <c r="K182" s="97" t="s">
        <v>320</v>
      </c>
      <c r="L182" s="117"/>
    </row>
    <row r="183" spans="1:12" ht="25.5" x14ac:dyDescent="0.2">
      <c r="A183" s="96">
        <v>186</v>
      </c>
      <c r="B183" s="117" t="s">
        <v>490</v>
      </c>
      <c r="C183" s="114">
        <v>1094880877</v>
      </c>
      <c r="D183" s="115" t="s">
        <v>500</v>
      </c>
      <c r="E183" s="126">
        <v>44963</v>
      </c>
      <c r="F183" s="114" t="s">
        <v>17</v>
      </c>
      <c r="G183" s="96" t="s">
        <v>22</v>
      </c>
      <c r="H183" s="96">
        <v>4.79</v>
      </c>
      <c r="I183" s="96" t="s">
        <v>335</v>
      </c>
      <c r="J183" s="96">
        <v>2</v>
      </c>
      <c r="K183" s="97" t="s">
        <v>320</v>
      </c>
      <c r="L183" s="117"/>
    </row>
    <row r="184" spans="1:12" ht="25.5" x14ac:dyDescent="0.2">
      <c r="A184" s="96">
        <v>168</v>
      </c>
      <c r="B184" s="117" t="s">
        <v>501</v>
      </c>
      <c r="C184" s="96">
        <v>94501347</v>
      </c>
      <c r="D184" s="136" t="s">
        <v>147</v>
      </c>
      <c r="E184" s="116">
        <v>41673</v>
      </c>
      <c r="F184" s="96" t="s">
        <v>21</v>
      </c>
      <c r="G184" s="96" t="s">
        <v>11</v>
      </c>
      <c r="H184" s="96">
        <v>4.99</v>
      </c>
      <c r="I184" s="96" t="s">
        <v>338</v>
      </c>
      <c r="J184" s="96">
        <v>2</v>
      </c>
      <c r="K184" s="97" t="s">
        <v>320</v>
      </c>
      <c r="L184" s="113"/>
    </row>
    <row r="185" spans="1:12" ht="25.5" x14ac:dyDescent="0.2">
      <c r="A185" s="96">
        <v>169</v>
      </c>
      <c r="B185" s="117" t="s">
        <v>501</v>
      </c>
      <c r="C185" s="96">
        <v>70121452</v>
      </c>
      <c r="D185" s="113" t="s">
        <v>502</v>
      </c>
      <c r="E185" s="116">
        <v>38376</v>
      </c>
      <c r="F185" s="96" t="s">
        <v>17</v>
      </c>
      <c r="G185" s="96" t="s">
        <v>22</v>
      </c>
      <c r="H185" s="125">
        <v>4.8099999999999996</v>
      </c>
      <c r="I185" s="96" t="s">
        <v>335</v>
      </c>
      <c r="J185" s="96">
        <v>2</v>
      </c>
      <c r="K185" s="97" t="s">
        <v>320</v>
      </c>
      <c r="L185" s="117"/>
    </row>
    <row r="186" spans="1:12" ht="25.5" x14ac:dyDescent="0.2">
      <c r="A186" s="96">
        <v>170</v>
      </c>
      <c r="B186" s="117" t="s">
        <v>501</v>
      </c>
      <c r="C186" s="96">
        <v>8152735</v>
      </c>
      <c r="D186" s="113" t="s">
        <v>503</v>
      </c>
      <c r="E186" s="116">
        <v>40203</v>
      </c>
      <c r="F186" s="96" t="s">
        <v>21</v>
      </c>
      <c r="G186" s="96" t="s">
        <v>10</v>
      </c>
      <c r="H186" s="125">
        <v>4.96</v>
      </c>
      <c r="I186" s="96" t="s">
        <v>323</v>
      </c>
      <c r="J186" s="96">
        <v>2</v>
      </c>
      <c r="K186" s="97" t="s">
        <v>320</v>
      </c>
      <c r="L186" s="117"/>
    </row>
    <row r="187" spans="1:12" ht="25.5" x14ac:dyDescent="0.2">
      <c r="A187" s="96">
        <v>171</v>
      </c>
      <c r="B187" s="117" t="s">
        <v>501</v>
      </c>
      <c r="C187" s="119">
        <v>9739108</v>
      </c>
      <c r="D187" s="136" t="s">
        <v>504</v>
      </c>
      <c r="E187" s="116">
        <v>41673</v>
      </c>
      <c r="F187" s="96" t="s">
        <v>21</v>
      </c>
      <c r="G187" s="96" t="s">
        <v>10</v>
      </c>
      <c r="H187" s="125">
        <v>4.9000000000000004</v>
      </c>
      <c r="I187" s="96" t="s">
        <v>323</v>
      </c>
      <c r="J187" s="96">
        <v>2</v>
      </c>
      <c r="K187" s="97" t="s">
        <v>320</v>
      </c>
      <c r="L187" s="113"/>
    </row>
    <row r="188" spans="1:12" ht="25.5" x14ac:dyDescent="0.2">
      <c r="A188" s="96">
        <v>172</v>
      </c>
      <c r="B188" s="117" t="s">
        <v>501</v>
      </c>
      <c r="C188" s="114">
        <v>41943583</v>
      </c>
      <c r="D188" s="115" t="s">
        <v>505</v>
      </c>
      <c r="E188" s="126">
        <v>44963</v>
      </c>
      <c r="F188" s="114" t="s">
        <v>21</v>
      </c>
      <c r="G188" s="96" t="s">
        <v>22</v>
      </c>
      <c r="H188" s="96">
        <v>4.9400000000000004</v>
      </c>
      <c r="I188" s="96" t="s">
        <v>322</v>
      </c>
      <c r="J188" s="96">
        <v>2</v>
      </c>
      <c r="K188" s="97" t="s">
        <v>320</v>
      </c>
      <c r="L188" s="117"/>
    </row>
    <row r="189" spans="1:12" ht="25.5" x14ac:dyDescent="0.2">
      <c r="A189" s="96">
        <v>173</v>
      </c>
      <c r="B189" s="117" t="s">
        <v>501</v>
      </c>
      <c r="C189" s="119">
        <v>9772119</v>
      </c>
      <c r="D189" s="113" t="s">
        <v>506</v>
      </c>
      <c r="E189" s="99">
        <v>42955</v>
      </c>
      <c r="F189" s="96" t="s">
        <v>17</v>
      </c>
      <c r="G189" s="96" t="s">
        <v>10</v>
      </c>
      <c r="H189" s="96">
        <v>4.9800000000000004</v>
      </c>
      <c r="I189" s="96" t="s">
        <v>335</v>
      </c>
      <c r="J189" s="96">
        <v>2</v>
      </c>
      <c r="K189" s="97" t="s">
        <v>320</v>
      </c>
      <c r="L189" s="117"/>
    </row>
    <row r="190" spans="1:12" x14ac:dyDescent="0.2">
      <c r="A190" s="96">
        <v>187</v>
      </c>
      <c r="B190" s="117" t="s">
        <v>507</v>
      </c>
      <c r="C190" s="97">
        <v>18390797</v>
      </c>
      <c r="D190" s="117" t="s">
        <v>148</v>
      </c>
      <c r="E190" s="99">
        <v>38875</v>
      </c>
      <c r="F190" s="97" t="s">
        <v>17</v>
      </c>
      <c r="G190" s="97" t="s">
        <v>149</v>
      </c>
      <c r="H190" s="97">
        <v>4.74</v>
      </c>
      <c r="I190" s="97" t="s">
        <v>338</v>
      </c>
      <c r="J190" s="96">
        <v>2</v>
      </c>
      <c r="K190" s="97" t="s">
        <v>320</v>
      </c>
      <c r="L190" s="113"/>
    </row>
    <row r="191" spans="1:12" x14ac:dyDescent="0.2">
      <c r="A191" s="96">
        <v>188</v>
      </c>
      <c r="B191" s="113" t="s">
        <v>507</v>
      </c>
      <c r="C191" s="96">
        <v>4376943</v>
      </c>
      <c r="D191" s="113" t="s">
        <v>508</v>
      </c>
      <c r="E191" s="116">
        <v>38027</v>
      </c>
      <c r="F191" s="96" t="s">
        <v>21</v>
      </c>
      <c r="G191" s="96" t="s">
        <v>11</v>
      </c>
      <c r="H191" s="127">
        <v>4.9800000000000004</v>
      </c>
      <c r="I191" s="96" t="s">
        <v>322</v>
      </c>
      <c r="J191" s="96">
        <v>2</v>
      </c>
      <c r="K191" s="97" t="s">
        <v>320</v>
      </c>
      <c r="L191" s="117"/>
    </row>
    <row r="192" spans="1:12" x14ac:dyDescent="0.2">
      <c r="A192" s="96">
        <v>189</v>
      </c>
      <c r="B192" s="113" t="s">
        <v>507</v>
      </c>
      <c r="C192" s="96">
        <v>14241527</v>
      </c>
      <c r="D192" s="113" t="s">
        <v>509</v>
      </c>
      <c r="E192" s="116">
        <v>37698</v>
      </c>
      <c r="F192" s="96" t="s">
        <v>21</v>
      </c>
      <c r="G192" s="96" t="s">
        <v>11</v>
      </c>
      <c r="H192" s="127">
        <v>4.97</v>
      </c>
      <c r="I192" s="96" t="s">
        <v>323</v>
      </c>
      <c r="J192" s="96">
        <v>2</v>
      </c>
      <c r="K192" s="97" t="s">
        <v>320</v>
      </c>
      <c r="L192" s="113"/>
    </row>
    <row r="193" spans="1:12" x14ac:dyDescent="0.2">
      <c r="A193" s="96">
        <v>190</v>
      </c>
      <c r="B193" s="113" t="s">
        <v>507</v>
      </c>
      <c r="C193" s="96">
        <v>4374317</v>
      </c>
      <c r="D193" s="113" t="s">
        <v>510</v>
      </c>
      <c r="E193" s="116">
        <v>35828</v>
      </c>
      <c r="F193" s="96" t="s">
        <v>17</v>
      </c>
      <c r="G193" s="96" t="s">
        <v>22</v>
      </c>
      <c r="H193" s="127">
        <v>4.24</v>
      </c>
      <c r="I193" s="96" t="s">
        <v>323</v>
      </c>
      <c r="J193" s="96">
        <v>1.6</v>
      </c>
      <c r="K193" s="97" t="s">
        <v>320</v>
      </c>
      <c r="L193" s="117"/>
    </row>
    <row r="194" spans="1:12" ht="25.5" x14ac:dyDescent="0.2">
      <c r="A194" s="96">
        <v>191</v>
      </c>
      <c r="B194" s="113" t="s">
        <v>507</v>
      </c>
      <c r="C194" s="96">
        <v>14231147</v>
      </c>
      <c r="D194" s="113" t="s">
        <v>511</v>
      </c>
      <c r="E194" s="116">
        <v>34176</v>
      </c>
      <c r="F194" s="96" t="s">
        <v>21</v>
      </c>
      <c r="G194" s="96" t="s">
        <v>11</v>
      </c>
      <c r="H194" s="96">
        <v>4.58</v>
      </c>
      <c r="I194" s="96" t="s">
        <v>323</v>
      </c>
      <c r="J194" s="96">
        <v>2</v>
      </c>
      <c r="K194" s="97" t="s">
        <v>320</v>
      </c>
      <c r="L194" s="117" t="s">
        <v>512</v>
      </c>
    </row>
    <row r="195" spans="1:12" x14ac:dyDescent="0.2">
      <c r="A195" s="96">
        <v>192</v>
      </c>
      <c r="B195" s="113" t="s">
        <v>507</v>
      </c>
      <c r="C195" s="96">
        <v>7520464</v>
      </c>
      <c r="D195" s="113" t="s">
        <v>150</v>
      </c>
      <c r="E195" s="116">
        <v>27668</v>
      </c>
      <c r="F195" s="96" t="s">
        <v>17</v>
      </c>
      <c r="G195" s="96" t="s">
        <v>11</v>
      </c>
      <c r="H195" s="127">
        <v>4.7</v>
      </c>
      <c r="I195" s="96" t="s">
        <v>327</v>
      </c>
      <c r="J195" s="96">
        <v>2</v>
      </c>
      <c r="K195" s="97" t="s">
        <v>320</v>
      </c>
      <c r="L195" s="148"/>
    </row>
    <row r="196" spans="1:12" x14ac:dyDescent="0.2">
      <c r="A196" s="131">
        <v>193</v>
      </c>
      <c r="B196" s="133" t="s">
        <v>507</v>
      </c>
      <c r="C196" s="131">
        <v>41942473</v>
      </c>
      <c r="D196" s="133" t="s">
        <v>151</v>
      </c>
      <c r="E196" s="140">
        <v>41872</v>
      </c>
      <c r="F196" s="131" t="s">
        <v>21</v>
      </c>
      <c r="G196" s="131" t="s">
        <v>10</v>
      </c>
      <c r="H196" s="131">
        <v>4.9400000000000004</v>
      </c>
      <c r="I196" s="135" t="s">
        <v>335</v>
      </c>
      <c r="J196" s="131">
        <v>2</v>
      </c>
      <c r="K196" s="135" t="s">
        <v>320</v>
      </c>
      <c r="L196" s="132" t="s">
        <v>354</v>
      </c>
    </row>
    <row r="197" spans="1:12" x14ac:dyDescent="0.2">
      <c r="A197" s="96">
        <v>194</v>
      </c>
      <c r="B197" s="113" t="s">
        <v>507</v>
      </c>
      <c r="C197" s="96">
        <v>25153622</v>
      </c>
      <c r="D197" s="113" t="s">
        <v>513</v>
      </c>
      <c r="E197" s="116">
        <v>29983</v>
      </c>
      <c r="F197" s="96" t="s">
        <v>17</v>
      </c>
      <c r="G197" s="96" t="s">
        <v>11</v>
      </c>
      <c r="H197" s="127">
        <v>4.6500000000000004</v>
      </c>
      <c r="I197" s="96" t="s">
        <v>323</v>
      </c>
      <c r="J197" s="96">
        <v>2</v>
      </c>
      <c r="K197" s="97" t="s">
        <v>320</v>
      </c>
      <c r="L197" s="117"/>
    </row>
    <row r="198" spans="1:12" x14ac:dyDescent="0.2">
      <c r="A198" s="96">
        <v>195</v>
      </c>
      <c r="B198" s="113" t="s">
        <v>507</v>
      </c>
      <c r="C198" s="96">
        <v>18397252</v>
      </c>
      <c r="D198" s="113" t="s">
        <v>514</v>
      </c>
      <c r="E198" s="116">
        <v>39660</v>
      </c>
      <c r="F198" s="96" t="s">
        <v>21</v>
      </c>
      <c r="G198" s="96" t="s">
        <v>10</v>
      </c>
      <c r="H198" s="96">
        <v>4.63</v>
      </c>
      <c r="I198" s="96" t="s">
        <v>326</v>
      </c>
      <c r="J198" s="96">
        <v>2</v>
      </c>
      <c r="K198" s="97" t="s">
        <v>320</v>
      </c>
      <c r="L198" s="117"/>
    </row>
    <row r="199" spans="1:12" ht="63.75" x14ac:dyDescent="0.2">
      <c r="A199" s="106">
        <v>196</v>
      </c>
      <c r="B199" s="107" t="s">
        <v>507</v>
      </c>
      <c r="C199" s="106">
        <v>89005354</v>
      </c>
      <c r="D199" s="107" t="s">
        <v>515</v>
      </c>
      <c r="E199" s="109">
        <v>41872</v>
      </c>
      <c r="F199" s="106" t="s">
        <v>17</v>
      </c>
      <c r="G199" s="106" t="s">
        <v>10</v>
      </c>
      <c r="H199" s="144">
        <v>5</v>
      </c>
      <c r="I199" s="106" t="s">
        <v>353</v>
      </c>
      <c r="J199" s="106">
        <v>2</v>
      </c>
      <c r="K199" s="110" t="s">
        <v>320</v>
      </c>
      <c r="L199" s="108" t="s">
        <v>516</v>
      </c>
    </row>
    <row r="200" spans="1:12" x14ac:dyDescent="0.2">
      <c r="A200" s="96">
        <v>197</v>
      </c>
      <c r="B200" s="113" t="s">
        <v>507</v>
      </c>
      <c r="C200" s="96">
        <v>33215449</v>
      </c>
      <c r="D200" s="113" t="s">
        <v>517</v>
      </c>
      <c r="E200" s="116">
        <v>40947</v>
      </c>
      <c r="F200" s="96" t="s">
        <v>17</v>
      </c>
      <c r="G200" s="96" t="s">
        <v>11</v>
      </c>
      <c r="H200" s="127">
        <v>4.8600000000000003</v>
      </c>
      <c r="I200" s="96" t="s">
        <v>323</v>
      </c>
      <c r="J200" s="96">
        <v>2</v>
      </c>
      <c r="K200" s="97" t="s">
        <v>320</v>
      </c>
      <c r="L200" s="117"/>
    </row>
    <row r="201" spans="1:12" x14ac:dyDescent="0.2">
      <c r="A201" s="96">
        <v>198</v>
      </c>
      <c r="B201" s="113" t="s">
        <v>507</v>
      </c>
      <c r="C201" s="96">
        <v>41939761</v>
      </c>
      <c r="D201" s="113" t="s">
        <v>152</v>
      </c>
      <c r="E201" s="116">
        <v>40203</v>
      </c>
      <c r="F201" s="96" t="s">
        <v>21</v>
      </c>
      <c r="G201" s="96" t="s">
        <v>10</v>
      </c>
      <c r="H201" s="96">
        <v>4.9800000000000004</v>
      </c>
      <c r="I201" s="96" t="s">
        <v>338</v>
      </c>
      <c r="J201" s="96">
        <v>2</v>
      </c>
      <c r="K201" s="97" t="s">
        <v>320</v>
      </c>
      <c r="L201" s="117"/>
    </row>
    <row r="202" spans="1:12" x14ac:dyDescent="0.2">
      <c r="A202" s="96">
        <v>199</v>
      </c>
      <c r="B202" s="113" t="s">
        <v>507</v>
      </c>
      <c r="C202" s="96">
        <v>24988906</v>
      </c>
      <c r="D202" s="113" t="s">
        <v>518</v>
      </c>
      <c r="E202" s="116">
        <v>34024</v>
      </c>
      <c r="F202" s="96" t="s">
        <v>21</v>
      </c>
      <c r="G202" s="96" t="s">
        <v>11</v>
      </c>
      <c r="H202" s="127">
        <v>4.84</v>
      </c>
      <c r="I202" s="96" t="s">
        <v>326</v>
      </c>
      <c r="J202" s="96">
        <v>2</v>
      </c>
      <c r="K202" s="97" t="s">
        <v>320</v>
      </c>
      <c r="L202" s="117"/>
    </row>
    <row r="203" spans="1:12" x14ac:dyDescent="0.2">
      <c r="A203" s="96">
        <v>200</v>
      </c>
      <c r="B203" s="113" t="s">
        <v>507</v>
      </c>
      <c r="C203" s="96">
        <v>18492637</v>
      </c>
      <c r="D203" s="113" t="s">
        <v>153</v>
      </c>
      <c r="E203" s="99">
        <v>41872</v>
      </c>
      <c r="F203" s="96" t="s">
        <v>21</v>
      </c>
      <c r="G203" s="96" t="s">
        <v>11</v>
      </c>
      <c r="H203" s="127">
        <v>4.9000000000000004</v>
      </c>
      <c r="I203" s="96" t="s">
        <v>323</v>
      </c>
      <c r="J203" s="96">
        <v>2</v>
      </c>
      <c r="K203" s="97" t="s">
        <v>320</v>
      </c>
      <c r="L203" s="117"/>
    </row>
    <row r="204" spans="1:12" x14ac:dyDescent="0.2">
      <c r="A204" s="96">
        <v>201</v>
      </c>
      <c r="B204" s="113" t="s">
        <v>519</v>
      </c>
      <c r="C204" s="96">
        <v>7552224</v>
      </c>
      <c r="D204" s="113" t="s">
        <v>520</v>
      </c>
      <c r="E204" s="116">
        <v>40203</v>
      </c>
      <c r="F204" s="96" t="s">
        <v>110</v>
      </c>
      <c r="G204" s="96" t="s">
        <v>22</v>
      </c>
      <c r="H204" s="96">
        <v>4.74</v>
      </c>
      <c r="I204" s="96" t="s">
        <v>323</v>
      </c>
      <c r="J204" s="96">
        <v>2</v>
      </c>
      <c r="K204" s="97" t="s">
        <v>320</v>
      </c>
      <c r="L204" s="117"/>
    </row>
    <row r="205" spans="1:12" x14ac:dyDescent="0.2">
      <c r="A205" s="96">
        <v>202</v>
      </c>
      <c r="B205" s="113" t="s">
        <v>51</v>
      </c>
      <c r="C205" s="96">
        <v>39789083</v>
      </c>
      <c r="D205" s="113" t="s">
        <v>154</v>
      </c>
      <c r="E205" s="116">
        <v>40203</v>
      </c>
      <c r="F205" s="96" t="s">
        <v>110</v>
      </c>
      <c r="G205" s="96" t="s">
        <v>22</v>
      </c>
      <c r="H205" s="96">
        <v>4.9800000000000004</v>
      </c>
      <c r="I205" s="96" t="s">
        <v>327</v>
      </c>
      <c r="J205" s="96">
        <v>2</v>
      </c>
      <c r="K205" s="97" t="s">
        <v>320</v>
      </c>
      <c r="L205" s="117"/>
    </row>
    <row r="206" spans="1:12" x14ac:dyDescent="0.2">
      <c r="A206" s="96">
        <v>203</v>
      </c>
      <c r="B206" s="117" t="s">
        <v>521</v>
      </c>
      <c r="C206" s="97">
        <v>7554191</v>
      </c>
      <c r="D206" s="117" t="s">
        <v>155</v>
      </c>
      <c r="E206" s="99">
        <v>34851</v>
      </c>
      <c r="F206" s="97" t="s">
        <v>21</v>
      </c>
      <c r="G206" s="97" t="s">
        <v>11</v>
      </c>
      <c r="H206" s="96">
        <v>4.8899999999999997</v>
      </c>
      <c r="I206" s="97" t="s">
        <v>338</v>
      </c>
      <c r="J206" s="96">
        <v>2</v>
      </c>
      <c r="K206" s="97" t="s">
        <v>320</v>
      </c>
      <c r="L206" s="117"/>
    </row>
    <row r="207" spans="1:12" x14ac:dyDescent="0.2">
      <c r="A207" s="96">
        <v>204</v>
      </c>
      <c r="B207" s="113" t="s">
        <v>519</v>
      </c>
      <c r="C207" s="96">
        <v>71600566</v>
      </c>
      <c r="D207" s="113" t="s">
        <v>522</v>
      </c>
      <c r="E207" s="116">
        <v>34974</v>
      </c>
      <c r="F207" s="96" t="s">
        <v>17</v>
      </c>
      <c r="G207" s="96" t="s">
        <v>22</v>
      </c>
      <c r="H207" s="96">
        <v>4.92</v>
      </c>
      <c r="I207" s="96" t="s">
        <v>335</v>
      </c>
      <c r="J207" s="96">
        <v>2</v>
      </c>
      <c r="K207" s="97" t="s">
        <v>320</v>
      </c>
      <c r="L207" s="117"/>
    </row>
    <row r="208" spans="1:12" x14ac:dyDescent="0.2">
      <c r="A208" s="96">
        <v>205</v>
      </c>
      <c r="B208" s="113" t="s">
        <v>519</v>
      </c>
      <c r="C208" s="96">
        <v>7544368</v>
      </c>
      <c r="D208" s="113" t="s">
        <v>523</v>
      </c>
      <c r="E208" s="116">
        <v>34366</v>
      </c>
      <c r="F208" s="96" t="s">
        <v>17</v>
      </c>
      <c r="G208" s="96" t="s">
        <v>11</v>
      </c>
      <c r="H208" s="96">
        <v>4.8499999999999996</v>
      </c>
      <c r="I208" s="96" t="s">
        <v>338</v>
      </c>
      <c r="J208" s="96">
        <v>2</v>
      </c>
      <c r="K208" s="97" t="s">
        <v>320</v>
      </c>
      <c r="L208" s="117"/>
    </row>
    <row r="209" spans="1:12" x14ac:dyDescent="0.2">
      <c r="A209" s="96">
        <v>206</v>
      </c>
      <c r="B209" s="113" t="s">
        <v>519</v>
      </c>
      <c r="C209" s="96">
        <v>41941200</v>
      </c>
      <c r="D209" s="113" t="s">
        <v>156</v>
      </c>
      <c r="E209" s="116">
        <v>40392</v>
      </c>
      <c r="F209" s="96" t="s">
        <v>21</v>
      </c>
      <c r="G209" s="96" t="s">
        <v>22</v>
      </c>
      <c r="H209" s="96">
        <v>4.9800000000000004</v>
      </c>
      <c r="I209" s="96" t="s">
        <v>338</v>
      </c>
      <c r="J209" s="96">
        <v>2</v>
      </c>
      <c r="K209" s="97" t="s">
        <v>320</v>
      </c>
      <c r="L209" s="117"/>
    </row>
    <row r="210" spans="1:12" x14ac:dyDescent="0.2">
      <c r="A210" s="96">
        <v>207</v>
      </c>
      <c r="B210" s="113" t="s">
        <v>521</v>
      </c>
      <c r="C210" s="96">
        <v>1272863</v>
      </c>
      <c r="D210" s="113" t="s">
        <v>157</v>
      </c>
      <c r="E210" s="116">
        <v>40203</v>
      </c>
      <c r="F210" s="96" t="s">
        <v>17</v>
      </c>
      <c r="G210" s="96" t="s">
        <v>22</v>
      </c>
      <c r="H210" s="96">
        <v>4.54</v>
      </c>
      <c r="I210" s="96" t="s">
        <v>338</v>
      </c>
      <c r="J210" s="96">
        <v>2</v>
      </c>
      <c r="K210" s="97" t="s">
        <v>320</v>
      </c>
      <c r="L210" s="117"/>
    </row>
    <row r="211" spans="1:12" x14ac:dyDescent="0.2">
      <c r="A211" s="96">
        <v>208</v>
      </c>
      <c r="B211" s="113" t="s">
        <v>519</v>
      </c>
      <c r="C211" s="96">
        <v>7547521</v>
      </c>
      <c r="D211" s="113" t="s">
        <v>524</v>
      </c>
      <c r="E211" s="116">
        <v>33835</v>
      </c>
      <c r="F211" s="96" t="s">
        <v>110</v>
      </c>
      <c r="G211" s="96" t="s">
        <v>59</v>
      </c>
      <c r="H211" s="96">
        <v>4.75</v>
      </c>
      <c r="I211" s="96" t="s">
        <v>322</v>
      </c>
      <c r="J211" s="96">
        <v>2</v>
      </c>
      <c r="K211" s="97" t="s">
        <v>320</v>
      </c>
      <c r="L211" s="117"/>
    </row>
    <row r="212" spans="1:12" x14ac:dyDescent="0.2">
      <c r="A212" s="96">
        <v>209</v>
      </c>
      <c r="B212" s="113" t="s">
        <v>51</v>
      </c>
      <c r="C212" s="96">
        <v>7549257</v>
      </c>
      <c r="D212" s="113" t="s">
        <v>525</v>
      </c>
      <c r="E212" s="116">
        <v>36789</v>
      </c>
      <c r="F212" s="96" t="s">
        <v>21</v>
      </c>
      <c r="G212" s="96" t="s">
        <v>11</v>
      </c>
      <c r="H212" s="96">
        <v>4.87</v>
      </c>
      <c r="I212" s="96" t="s">
        <v>335</v>
      </c>
      <c r="J212" s="96">
        <v>2</v>
      </c>
      <c r="K212" s="97" t="s">
        <v>320</v>
      </c>
      <c r="L212" s="117"/>
    </row>
    <row r="213" spans="1:12" ht="25.5" x14ac:dyDescent="0.2">
      <c r="A213" s="120">
        <v>210</v>
      </c>
      <c r="B213" s="122" t="s">
        <v>51</v>
      </c>
      <c r="C213" s="120">
        <v>24488950</v>
      </c>
      <c r="D213" s="122" t="s">
        <v>526</v>
      </c>
      <c r="E213" s="123">
        <v>29983</v>
      </c>
      <c r="F213" s="120" t="s">
        <v>17</v>
      </c>
      <c r="G213" s="120" t="s">
        <v>11</v>
      </c>
      <c r="H213" s="120">
        <v>4.18</v>
      </c>
      <c r="I213" s="120" t="s">
        <v>323</v>
      </c>
      <c r="J213" s="120">
        <v>1.6</v>
      </c>
      <c r="K213" s="124" t="s">
        <v>331</v>
      </c>
      <c r="L213" s="121" t="s">
        <v>527</v>
      </c>
    </row>
    <row r="214" spans="1:12" x14ac:dyDescent="0.2">
      <c r="A214" s="96">
        <v>211</v>
      </c>
      <c r="B214" s="113" t="s">
        <v>51</v>
      </c>
      <c r="C214" s="96">
        <v>31287177</v>
      </c>
      <c r="D214" s="113" t="s">
        <v>528</v>
      </c>
      <c r="E214" s="116">
        <v>31895</v>
      </c>
      <c r="F214" s="96" t="s">
        <v>21</v>
      </c>
      <c r="G214" s="96" t="s">
        <v>11</v>
      </c>
      <c r="H214" s="96">
        <v>4.87</v>
      </c>
      <c r="I214" s="96" t="s">
        <v>335</v>
      </c>
      <c r="J214" s="96">
        <v>2</v>
      </c>
      <c r="K214" s="97" t="s">
        <v>320</v>
      </c>
      <c r="L214" s="117"/>
    </row>
    <row r="215" spans="1:12" x14ac:dyDescent="0.2">
      <c r="A215" s="96">
        <v>212</v>
      </c>
      <c r="B215" s="113" t="s">
        <v>51</v>
      </c>
      <c r="C215" s="96">
        <v>7535884</v>
      </c>
      <c r="D215" s="113" t="s">
        <v>529</v>
      </c>
      <c r="E215" s="116">
        <v>32545</v>
      </c>
      <c r="F215" s="96" t="s">
        <v>158</v>
      </c>
      <c r="G215" s="96" t="s">
        <v>22</v>
      </c>
      <c r="H215" s="96">
        <v>4.67</v>
      </c>
      <c r="I215" s="96" t="s">
        <v>338</v>
      </c>
      <c r="J215" s="96">
        <v>2</v>
      </c>
      <c r="K215" s="97" t="s">
        <v>320</v>
      </c>
      <c r="L215" s="117"/>
    </row>
    <row r="216" spans="1:12" x14ac:dyDescent="0.2">
      <c r="A216" s="96">
        <v>213</v>
      </c>
      <c r="B216" s="113" t="s">
        <v>521</v>
      </c>
      <c r="C216" s="96">
        <v>41893527</v>
      </c>
      <c r="D216" s="113" t="s">
        <v>159</v>
      </c>
      <c r="E216" s="116">
        <v>40947</v>
      </c>
      <c r="F216" s="96" t="s">
        <v>21</v>
      </c>
      <c r="G216" s="96" t="s">
        <v>11</v>
      </c>
      <c r="H216" s="149" t="s">
        <v>530</v>
      </c>
      <c r="I216" s="96" t="s">
        <v>322</v>
      </c>
      <c r="J216" s="96">
        <v>2</v>
      </c>
      <c r="K216" s="97" t="s">
        <v>320</v>
      </c>
      <c r="L216" s="117"/>
    </row>
    <row r="217" spans="1:12" x14ac:dyDescent="0.2">
      <c r="A217" s="96">
        <v>214</v>
      </c>
      <c r="B217" s="113" t="s">
        <v>51</v>
      </c>
      <c r="C217" s="114">
        <v>89000816</v>
      </c>
      <c r="D217" s="115" t="s">
        <v>531</v>
      </c>
      <c r="E217" s="126">
        <v>44963</v>
      </c>
      <c r="F217" s="114" t="s">
        <v>17</v>
      </c>
      <c r="G217" s="96" t="s">
        <v>59</v>
      </c>
      <c r="H217" s="96">
        <v>4.74</v>
      </c>
      <c r="I217" s="96" t="s">
        <v>322</v>
      </c>
      <c r="J217" s="96">
        <v>2</v>
      </c>
      <c r="K217" s="97" t="s">
        <v>320</v>
      </c>
      <c r="L217" s="117"/>
    </row>
    <row r="218" spans="1:12" x14ac:dyDescent="0.2">
      <c r="A218" s="96">
        <v>215</v>
      </c>
      <c r="B218" s="113" t="s">
        <v>521</v>
      </c>
      <c r="C218" s="96">
        <v>18394854</v>
      </c>
      <c r="D218" s="113" t="s">
        <v>160</v>
      </c>
      <c r="E218" s="99">
        <v>41872</v>
      </c>
      <c r="F218" s="96" t="s">
        <v>21</v>
      </c>
      <c r="G218" s="96" t="s">
        <v>10</v>
      </c>
      <c r="H218" s="125">
        <v>4.75</v>
      </c>
      <c r="I218" s="96" t="s">
        <v>335</v>
      </c>
      <c r="J218" s="96">
        <v>2</v>
      </c>
      <c r="K218" s="97" t="s">
        <v>320</v>
      </c>
      <c r="L218" s="117"/>
    </row>
    <row r="219" spans="1:12" x14ac:dyDescent="0.2">
      <c r="A219" s="96">
        <v>216</v>
      </c>
      <c r="B219" s="113" t="s">
        <v>519</v>
      </c>
      <c r="C219" s="96">
        <v>73076926</v>
      </c>
      <c r="D219" s="113" t="s">
        <v>161</v>
      </c>
      <c r="E219" s="116">
        <v>38986</v>
      </c>
      <c r="F219" s="96" t="s">
        <v>110</v>
      </c>
      <c r="G219" s="96" t="s">
        <v>11</v>
      </c>
      <c r="H219" s="125">
        <v>4.76</v>
      </c>
      <c r="I219" s="96" t="s">
        <v>335</v>
      </c>
      <c r="J219" s="96">
        <v>2</v>
      </c>
      <c r="K219" s="97" t="s">
        <v>320</v>
      </c>
      <c r="L219" s="117"/>
    </row>
    <row r="220" spans="1:12" x14ac:dyDescent="0.2">
      <c r="A220" s="96">
        <v>217</v>
      </c>
      <c r="B220" s="113" t="s">
        <v>519</v>
      </c>
      <c r="C220" s="96">
        <v>18593326</v>
      </c>
      <c r="D220" s="113" t="s">
        <v>162</v>
      </c>
      <c r="E220" s="116">
        <v>40392</v>
      </c>
      <c r="F220" s="96" t="s">
        <v>110</v>
      </c>
      <c r="G220" s="96" t="s">
        <v>59</v>
      </c>
      <c r="H220" s="125">
        <v>4.9000000000000004</v>
      </c>
      <c r="I220" s="96" t="s">
        <v>335</v>
      </c>
      <c r="J220" s="96">
        <v>2</v>
      </c>
      <c r="K220" s="97" t="s">
        <v>320</v>
      </c>
      <c r="L220" s="117"/>
    </row>
    <row r="221" spans="1:12" x14ac:dyDescent="0.2">
      <c r="A221" s="96">
        <v>218</v>
      </c>
      <c r="B221" s="113" t="s">
        <v>51</v>
      </c>
      <c r="C221" s="96">
        <v>7535611</v>
      </c>
      <c r="D221" s="113" t="s">
        <v>163</v>
      </c>
      <c r="E221" s="116">
        <v>34366</v>
      </c>
      <c r="F221" s="96" t="s">
        <v>17</v>
      </c>
      <c r="G221" s="96" t="s">
        <v>10</v>
      </c>
      <c r="H221" s="96">
        <v>4.13</v>
      </c>
      <c r="I221" s="96" t="s">
        <v>335</v>
      </c>
      <c r="J221" s="96">
        <v>1.6</v>
      </c>
      <c r="K221" s="97" t="s">
        <v>320</v>
      </c>
      <c r="L221" s="117"/>
    </row>
    <row r="222" spans="1:12" x14ac:dyDescent="0.2">
      <c r="A222" s="96">
        <v>219</v>
      </c>
      <c r="B222" s="113" t="s">
        <v>55</v>
      </c>
      <c r="C222" s="96">
        <v>7545963</v>
      </c>
      <c r="D222" s="113" t="s">
        <v>164</v>
      </c>
      <c r="E222" s="116">
        <v>35828</v>
      </c>
      <c r="F222" s="96" t="s">
        <v>17</v>
      </c>
      <c r="G222" s="96" t="s">
        <v>11</v>
      </c>
      <c r="H222" s="125">
        <v>4.7</v>
      </c>
      <c r="I222" s="96" t="s">
        <v>335</v>
      </c>
      <c r="J222" s="96">
        <v>2</v>
      </c>
      <c r="K222" s="97" t="s">
        <v>320</v>
      </c>
      <c r="L222" s="117"/>
    </row>
    <row r="223" spans="1:12" x14ac:dyDescent="0.2">
      <c r="A223" s="96">
        <v>220</v>
      </c>
      <c r="B223" s="113" t="s">
        <v>55</v>
      </c>
      <c r="C223" s="96">
        <v>7520093</v>
      </c>
      <c r="D223" s="113" t="s">
        <v>165</v>
      </c>
      <c r="E223" s="116">
        <v>35828</v>
      </c>
      <c r="F223" s="96" t="s">
        <v>17</v>
      </c>
      <c r="G223" s="96" t="s">
        <v>10</v>
      </c>
      <c r="H223" s="96">
        <v>4.59</v>
      </c>
      <c r="I223" s="96" t="s">
        <v>327</v>
      </c>
      <c r="J223" s="96">
        <v>2</v>
      </c>
      <c r="K223" s="97" t="s">
        <v>320</v>
      </c>
      <c r="L223" s="117"/>
    </row>
    <row r="224" spans="1:12" x14ac:dyDescent="0.2">
      <c r="A224" s="96">
        <v>221</v>
      </c>
      <c r="B224" s="113" t="s">
        <v>55</v>
      </c>
      <c r="C224" s="114">
        <v>41961829</v>
      </c>
      <c r="D224" s="115" t="s">
        <v>166</v>
      </c>
      <c r="E224" s="126">
        <v>44963</v>
      </c>
      <c r="F224" s="96" t="s">
        <v>21</v>
      </c>
      <c r="G224" s="96" t="s">
        <v>22</v>
      </c>
      <c r="H224" s="127">
        <v>4.97</v>
      </c>
      <c r="I224" s="96" t="s">
        <v>322</v>
      </c>
      <c r="J224" s="96">
        <v>2</v>
      </c>
      <c r="K224" s="97" t="s">
        <v>320</v>
      </c>
      <c r="L224" s="113"/>
    </row>
    <row r="225" spans="1:12" x14ac:dyDescent="0.2">
      <c r="A225" s="96">
        <v>222</v>
      </c>
      <c r="B225" s="113" t="s">
        <v>55</v>
      </c>
      <c r="C225" s="96">
        <v>76308181</v>
      </c>
      <c r="D225" s="113" t="s">
        <v>532</v>
      </c>
      <c r="E225" s="116">
        <v>37288</v>
      </c>
      <c r="F225" s="96" t="s">
        <v>21</v>
      </c>
      <c r="G225" s="96" t="s">
        <v>10</v>
      </c>
      <c r="H225" s="96">
        <v>4.84</v>
      </c>
      <c r="I225" s="96" t="s">
        <v>335</v>
      </c>
      <c r="J225" s="96">
        <v>2</v>
      </c>
      <c r="K225" s="97" t="s">
        <v>320</v>
      </c>
      <c r="L225" s="117"/>
    </row>
    <row r="226" spans="1:12" x14ac:dyDescent="0.2">
      <c r="A226" s="96">
        <v>223</v>
      </c>
      <c r="B226" s="113" t="s">
        <v>55</v>
      </c>
      <c r="C226" s="96">
        <v>41902205</v>
      </c>
      <c r="D226" s="113" t="s">
        <v>167</v>
      </c>
      <c r="E226" s="116">
        <v>35828</v>
      </c>
      <c r="F226" s="96" t="s">
        <v>17</v>
      </c>
      <c r="G226" s="96" t="s">
        <v>10</v>
      </c>
      <c r="H226" s="125">
        <v>4.93</v>
      </c>
      <c r="I226" s="96" t="s">
        <v>335</v>
      </c>
      <c r="J226" s="96">
        <v>2</v>
      </c>
      <c r="K226" s="97" t="s">
        <v>320</v>
      </c>
      <c r="L226" s="113"/>
    </row>
    <row r="227" spans="1:12" x14ac:dyDescent="0.2">
      <c r="A227" s="96">
        <v>224</v>
      </c>
      <c r="B227" s="113" t="s">
        <v>55</v>
      </c>
      <c r="C227" s="96">
        <v>7524166</v>
      </c>
      <c r="D227" s="113" t="s">
        <v>168</v>
      </c>
      <c r="E227" s="116">
        <v>35828</v>
      </c>
      <c r="F227" s="96" t="s">
        <v>17</v>
      </c>
      <c r="G227" s="96" t="s">
        <v>22</v>
      </c>
      <c r="H227" s="125">
        <v>4.74</v>
      </c>
      <c r="I227" s="96" t="s">
        <v>335</v>
      </c>
      <c r="J227" s="96">
        <v>2</v>
      </c>
      <c r="K227" s="97" t="s">
        <v>320</v>
      </c>
      <c r="L227" s="117"/>
    </row>
    <row r="228" spans="1:12" x14ac:dyDescent="0.2">
      <c r="A228" s="96">
        <v>225</v>
      </c>
      <c r="B228" s="113" t="s">
        <v>55</v>
      </c>
      <c r="C228" s="96">
        <v>4377450</v>
      </c>
      <c r="D228" s="113" t="s">
        <v>169</v>
      </c>
      <c r="E228" s="116">
        <v>40203</v>
      </c>
      <c r="F228" s="96" t="s">
        <v>17</v>
      </c>
      <c r="G228" s="96" t="s">
        <v>22</v>
      </c>
      <c r="H228" s="127">
        <v>4.8099999999999996</v>
      </c>
      <c r="I228" s="127" t="s">
        <v>323</v>
      </c>
      <c r="J228" s="96">
        <v>2</v>
      </c>
      <c r="K228" s="97" t="s">
        <v>320</v>
      </c>
      <c r="L228" s="117"/>
    </row>
    <row r="229" spans="1:12" x14ac:dyDescent="0.2">
      <c r="A229" s="96">
        <v>226</v>
      </c>
      <c r="B229" s="113" t="s">
        <v>55</v>
      </c>
      <c r="C229" s="96">
        <v>19164898</v>
      </c>
      <c r="D229" s="113" t="s">
        <v>170</v>
      </c>
      <c r="E229" s="116">
        <v>32910</v>
      </c>
      <c r="F229" s="96" t="s">
        <v>17</v>
      </c>
      <c r="G229" s="96" t="s">
        <v>10</v>
      </c>
      <c r="H229" s="96">
        <v>4.12</v>
      </c>
      <c r="I229" s="96" t="s">
        <v>327</v>
      </c>
      <c r="J229" s="96">
        <v>1.6</v>
      </c>
      <c r="K229" s="97" t="s">
        <v>320</v>
      </c>
      <c r="L229" s="117"/>
    </row>
    <row r="230" spans="1:12" x14ac:dyDescent="0.2">
      <c r="A230" s="96">
        <v>227</v>
      </c>
      <c r="B230" s="113" t="s">
        <v>55</v>
      </c>
      <c r="C230" s="97">
        <v>7563112</v>
      </c>
      <c r="D230" s="117" t="s">
        <v>533</v>
      </c>
      <c r="E230" s="116">
        <v>40947</v>
      </c>
      <c r="F230" s="96" t="s">
        <v>21</v>
      </c>
      <c r="G230" s="96" t="s">
        <v>10</v>
      </c>
      <c r="H230" s="96">
        <v>4.83</v>
      </c>
      <c r="I230" s="96" t="s">
        <v>327</v>
      </c>
      <c r="J230" s="96">
        <v>2</v>
      </c>
      <c r="K230" s="97" t="s">
        <v>320</v>
      </c>
      <c r="L230" s="117"/>
    </row>
    <row r="231" spans="1:12" ht="25.5" x14ac:dyDescent="0.2">
      <c r="A231" s="120">
        <v>228</v>
      </c>
      <c r="B231" s="122" t="s">
        <v>55</v>
      </c>
      <c r="C231" s="120">
        <v>42086140</v>
      </c>
      <c r="D231" s="122" t="s">
        <v>534</v>
      </c>
      <c r="E231" s="123">
        <v>39142</v>
      </c>
      <c r="F231" s="120" t="s">
        <v>21</v>
      </c>
      <c r="G231" s="120" t="s">
        <v>10</v>
      </c>
      <c r="H231" s="137">
        <v>4.95</v>
      </c>
      <c r="I231" s="120" t="s">
        <v>353</v>
      </c>
      <c r="J231" s="120">
        <v>2</v>
      </c>
      <c r="K231" s="124" t="s">
        <v>331</v>
      </c>
      <c r="L231" s="121" t="s">
        <v>171</v>
      </c>
    </row>
    <row r="232" spans="1:12" ht="25.5" x14ac:dyDescent="0.2">
      <c r="A232" s="120">
        <v>229</v>
      </c>
      <c r="B232" s="122" t="s">
        <v>55</v>
      </c>
      <c r="C232" s="145">
        <v>18497593</v>
      </c>
      <c r="D232" s="146" t="s">
        <v>172</v>
      </c>
      <c r="E232" s="123">
        <v>42955</v>
      </c>
      <c r="F232" s="120" t="s">
        <v>17</v>
      </c>
      <c r="G232" s="120" t="s">
        <v>10</v>
      </c>
      <c r="H232" s="129">
        <v>4.95</v>
      </c>
      <c r="I232" s="120" t="s">
        <v>323</v>
      </c>
      <c r="J232" s="120">
        <v>2</v>
      </c>
      <c r="K232" s="124" t="s">
        <v>331</v>
      </c>
      <c r="L232" s="121" t="s">
        <v>173</v>
      </c>
    </row>
    <row r="233" spans="1:12" ht="38.25" x14ac:dyDescent="0.2">
      <c r="A233" s="106">
        <v>230</v>
      </c>
      <c r="B233" s="107" t="s">
        <v>55</v>
      </c>
      <c r="C233" s="106">
        <v>91493800</v>
      </c>
      <c r="D233" s="107" t="s">
        <v>174</v>
      </c>
      <c r="E233" s="142">
        <v>39664</v>
      </c>
      <c r="F233" s="106" t="s">
        <v>17</v>
      </c>
      <c r="G233" s="106" t="s">
        <v>22</v>
      </c>
      <c r="H233" s="144">
        <v>4.79</v>
      </c>
      <c r="I233" s="106" t="s">
        <v>319</v>
      </c>
      <c r="J233" s="106">
        <v>2</v>
      </c>
      <c r="K233" s="110" t="s">
        <v>320</v>
      </c>
      <c r="L233" s="108" t="s">
        <v>535</v>
      </c>
    </row>
    <row r="234" spans="1:12" x14ac:dyDescent="0.2">
      <c r="A234" s="96">
        <v>231</v>
      </c>
      <c r="B234" s="113" t="s">
        <v>55</v>
      </c>
      <c r="C234" s="114">
        <v>1094890604</v>
      </c>
      <c r="D234" s="115" t="s">
        <v>175</v>
      </c>
      <c r="E234" s="126">
        <v>44963</v>
      </c>
      <c r="F234" s="96" t="s">
        <v>21</v>
      </c>
      <c r="G234" s="96" t="s">
        <v>22</v>
      </c>
      <c r="H234" s="127">
        <v>4.7699999999999996</v>
      </c>
      <c r="I234" s="96" t="s">
        <v>322</v>
      </c>
      <c r="J234" s="96">
        <v>2</v>
      </c>
      <c r="K234" s="97" t="s">
        <v>320</v>
      </c>
      <c r="L234" s="113"/>
    </row>
    <row r="235" spans="1:12" x14ac:dyDescent="0.2">
      <c r="A235" s="96">
        <v>232</v>
      </c>
      <c r="B235" s="113" t="s">
        <v>57</v>
      </c>
      <c r="C235" s="96">
        <v>41912331</v>
      </c>
      <c r="D235" s="113" t="s">
        <v>536</v>
      </c>
      <c r="E235" s="116">
        <v>38041</v>
      </c>
      <c r="F235" s="96" t="s">
        <v>21</v>
      </c>
      <c r="G235" s="96" t="s">
        <v>10</v>
      </c>
      <c r="H235" s="127">
        <v>4.79</v>
      </c>
      <c r="I235" s="96" t="s">
        <v>323</v>
      </c>
      <c r="J235" s="96">
        <v>2</v>
      </c>
      <c r="K235" s="97" t="s">
        <v>320</v>
      </c>
      <c r="L235" s="117"/>
    </row>
    <row r="236" spans="1:12" x14ac:dyDescent="0.2">
      <c r="A236" s="96">
        <v>233</v>
      </c>
      <c r="B236" s="113" t="s">
        <v>57</v>
      </c>
      <c r="C236" s="114">
        <v>14702760</v>
      </c>
      <c r="D236" s="115" t="s">
        <v>176</v>
      </c>
      <c r="E236" s="126">
        <v>45107</v>
      </c>
      <c r="F236" s="114" t="s">
        <v>17</v>
      </c>
      <c r="G236" s="96" t="s">
        <v>59</v>
      </c>
      <c r="H236" s="127">
        <v>4.97</v>
      </c>
      <c r="I236" s="96" t="s">
        <v>322</v>
      </c>
      <c r="J236" s="96">
        <v>2</v>
      </c>
      <c r="K236" s="97" t="s">
        <v>320</v>
      </c>
      <c r="L236" s="117"/>
    </row>
    <row r="237" spans="1:12" x14ac:dyDescent="0.2">
      <c r="A237" s="96">
        <v>234</v>
      </c>
      <c r="B237" s="113" t="s">
        <v>57</v>
      </c>
      <c r="C237" s="96">
        <v>41911962</v>
      </c>
      <c r="D237" s="113" t="s">
        <v>537</v>
      </c>
      <c r="E237" s="116">
        <v>39660</v>
      </c>
      <c r="F237" s="96" t="s">
        <v>21</v>
      </c>
      <c r="G237" s="96" t="s">
        <v>10</v>
      </c>
      <c r="H237" s="127">
        <v>4.9000000000000004</v>
      </c>
      <c r="I237" s="96" t="s">
        <v>323</v>
      </c>
      <c r="J237" s="96">
        <v>2</v>
      </c>
      <c r="K237" s="97" t="s">
        <v>320</v>
      </c>
      <c r="L237" s="117"/>
    </row>
    <row r="238" spans="1:12" x14ac:dyDescent="0.2">
      <c r="A238" s="96">
        <v>235</v>
      </c>
      <c r="B238" s="113" t="s">
        <v>57</v>
      </c>
      <c r="C238" s="114">
        <v>29505841</v>
      </c>
      <c r="D238" s="115" t="s">
        <v>177</v>
      </c>
      <c r="E238" s="126">
        <v>44963</v>
      </c>
      <c r="F238" s="114" t="s">
        <v>17</v>
      </c>
      <c r="G238" s="96" t="s">
        <v>59</v>
      </c>
      <c r="H238" s="96">
        <v>4.92</v>
      </c>
      <c r="I238" s="96" t="s">
        <v>322</v>
      </c>
      <c r="J238" s="96">
        <v>2</v>
      </c>
      <c r="K238" s="97" t="s">
        <v>320</v>
      </c>
      <c r="L238" s="117"/>
    </row>
    <row r="239" spans="1:12" x14ac:dyDescent="0.2">
      <c r="A239" s="96">
        <v>236</v>
      </c>
      <c r="B239" s="113" t="s">
        <v>57</v>
      </c>
      <c r="C239" s="114">
        <v>9726715</v>
      </c>
      <c r="D239" s="115" t="s">
        <v>178</v>
      </c>
      <c r="E239" s="126">
        <v>44963</v>
      </c>
      <c r="F239" s="114" t="s">
        <v>17</v>
      </c>
      <c r="G239" s="96" t="s">
        <v>59</v>
      </c>
      <c r="H239" s="125">
        <v>4.9000000000000004</v>
      </c>
      <c r="I239" s="96" t="s">
        <v>322</v>
      </c>
      <c r="J239" s="96">
        <v>2</v>
      </c>
      <c r="K239" s="97" t="s">
        <v>320</v>
      </c>
      <c r="L239" s="117"/>
    </row>
    <row r="240" spans="1:12" x14ac:dyDescent="0.2">
      <c r="A240" s="96">
        <v>237</v>
      </c>
      <c r="B240" s="113" t="s">
        <v>57</v>
      </c>
      <c r="C240" s="96">
        <v>11380439</v>
      </c>
      <c r="D240" s="136" t="s">
        <v>179</v>
      </c>
      <c r="E240" s="116">
        <v>42955</v>
      </c>
      <c r="F240" s="96" t="s">
        <v>17</v>
      </c>
      <c r="G240" s="96" t="s">
        <v>10</v>
      </c>
      <c r="H240" s="127">
        <v>4.78</v>
      </c>
      <c r="I240" s="96" t="s">
        <v>323</v>
      </c>
      <c r="J240" s="96">
        <v>2</v>
      </c>
      <c r="K240" s="97" t="s">
        <v>320</v>
      </c>
      <c r="L240" s="117"/>
    </row>
    <row r="241" spans="1:12" ht="25.5" x14ac:dyDescent="0.2">
      <c r="A241" s="96">
        <v>238</v>
      </c>
      <c r="B241" s="117" t="s">
        <v>76</v>
      </c>
      <c r="C241" s="96">
        <v>18506672</v>
      </c>
      <c r="D241" s="113" t="s">
        <v>180</v>
      </c>
      <c r="E241" s="116">
        <v>34373</v>
      </c>
      <c r="F241" s="96" t="s">
        <v>17</v>
      </c>
      <c r="G241" s="96" t="s">
        <v>11</v>
      </c>
      <c r="H241" s="125">
        <v>4.7</v>
      </c>
      <c r="I241" s="96" t="s">
        <v>323</v>
      </c>
      <c r="J241" s="96">
        <v>2</v>
      </c>
      <c r="K241" s="97" t="s">
        <v>320</v>
      </c>
      <c r="L241" s="117"/>
    </row>
    <row r="242" spans="1:12" ht="25.5" x14ac:dyDescent="0.2">
      <c r="A242" s="131">
        <v>239</v>
      </c>
      <c r="B242" s="132" t="s">
        <v>76</v>
      </c>
      <c r="C242" s="139">
        <v>89001325</v>
      </c>
      <c r="D242" s="133" t="s">
        <v>181</v>
      </c>
      <c r="E242" s="134">
        <v>42955</v>
      </c>
      <c r="F242" s="131" t="s">
        <v>17</v>
      </c>
      <c r="G242" s="131" t="s">
        <v>11</v>
      </c>
      <c r="H242" s="141">
        <v>4.87</v>
      </c>
      <c r="I242" s="131" t="s">
        <v>326</v>
      </c>
      <c r="J242" s="131">
        <v>2</v>
      </c>
      <c r="K242" s="135" t="s">
        <v>320</v>
      </c>
      <c r="L242" s="132" t="s">
        <v>354</v>
      </c>
    </row>
    <row r="243" spans="1:12" ht="25.5" x14ac:dyDescent="0.2">
      <c r="A243" s="96">
        <v>240</v>
      </c>
      <c r="B243" s="117" t="s">
        <v>76</v>
      </c>
      <c r="C243" s="96">
        <v>14972100</v>
      </c>
      <c r="D243" s="113" t="s">
        <v>182</v>
      </c>
      <c r="E243" s="116">
        <v>35327</v>
      </c>
      <c r="F243" s="96" t="s">
        <v>110</v>
      </c>
      <c r="G243" s="96" t="s">
        <v>22</v>
      </c>
      <c r="H243" s="96">
        <v>4.71</v>
      </c>
      <c r="I243" s="96" t="s">
        <v>327</v>
      </c>
      <c r="J243" s="96">
        <v>2</v>
      </c>
      <c r="K243" s="97" t="s">
        <v>320</v>
      </c>
      <c r="L243" s="117"/>
    </row>
    <row r="244" spans="1:12" ht="25.5" x14ac:dyDescent="0.2">
      <c r="A244" s="96">
        <v>241</v>
      </c>
      <c r="B244" s="117" t="s">
        <v>76</v>
      </c>
      <c r="C244" s="96">
        <v>16215234</v>
      </c>
      <c r="D244" s="113" t="s">
        <v>183</v>
      </c>
      <c r="E244" s="116">
        <v>35828</v>
      </c>
      <c r="F244" s="96" t="s">
        <v>17</v>
      </c>
      <c r="G244" s="96" t="s">
        <v>11</v>
      </c>
      <c r="H244" s="96">
        <v>4.8099999999999996</v>
      </c>
      <c r="I244" s="96" t="s">
        <v>327</v>
      </c>
      <c r="J244" s="96">
        <v>2</v>
      </c>
      <c r="K244" s="97" t="s">
        <v>320</v>
      </c>
      <c r="L244" s="117"/>
    </row>
    <row r="245" spans="1:12" ht="25.5" x14ac:dyDescent="0.2">
      <c r="A245" s="96">
        <v>242</v>
      </c>
      <c r="B245" s="117" t="s">
        <v>76</v>
      </c>
      <c r="C245" s="96">
        <v>16209177</v>
      </c>
      <c r="D245" s="113" t="s">
        <v>538</v>
      </c>
      <c r="E245" s="116">
        <v>31810</v>
      </c>
      <c r="F245" s="96" t="s">
        <v>17</v>
      </c>
      <c r="G245" s="96" t="s">
        <v>11</v>
      </c>
      <c r="H245" s="96">
        <v>4.93</v>
      </c>
      <c r="I245" s="96" t="s">
        <v>335</v>
      </c>
      <c r="J245" s="96">
        <v>2</v>
      </c>
      <c r="K245" s="97" t="s">
        <v>403</v>
      </c>
      <c r="L245" s="117"/>
    </row>
    <row r="246" spans="1:12" ht="25.5" x14ac:dyDescent="0.2">
      <c r="A246" s="96">
        <v>243</v>
      </c>
      <c r="B246" s="117" t="s">
        <v>76</v>
      </c>
      <c r="C246" s="96">
        <v>93381654</v>
      </c>
      <c r="D246" s="113" t="s">
        <v>184</v>
      </c>
      <c r="E246" s="116">
        <v>38040</v>
      </c>
      <c r="F246" s="96" t="s">
        <v>21</v>
      </c>
      <c r="G246" s="96" t="s">
        <v>11</v>
      </c>
      <c r="H246" s="96">
        <v>4.75</v>
      </c>
      <c r="I246" s="96" t="s">
        <v>335</v>
      </c>
      <c r="J246" s="96">
        <v>2</v>
      </c>
      <c r="K246" s="97" t="s">
        <v>320</v>
      </c>
      <c r="L246" s="117"/>
    </row>
    <row r="247" spans="1:12" ht="25.5" x14ac:dyDescent="0.2">
      <c r="A247" s="96">
        <v>244</v>
      </c>
      <c r="B247" s="117" t="s">
        <v>76</v>
      </c>
      <c r="C247" s="96">
        <v>16221041</v>
      </c>
      <c r="D247" s="113" t="s">
        <v>185</v>
      </c>
      <c r="E247" s="116">
        <v>34837</v>
      </c>
      <c r="F247" s="96" t="s">
        <v>21</v>
      </c>
      <c r="G247" s="96" t="s">
        <v>22</v>
      </c>
      <c r="H247" s="96">
        <v>4.8099999999999996</v>
      </c>
      <c r="I247" s="96" t="s">
        <v>335</v>
      </c>
      <c r="J247" s="96">
        <v>2</v>
      </c>
      <c r="K247" s="97" t="s">
        <v>320</v>
      </c>
      <c r="L247" s="117"/>
    </row>
    <row r="248" spans="1:12" ht="25.5" x14ac:dyDescent="0.2">
      <c r="A248" s="96">
        <v>245</v>
      </c>
      <c r="B248" s="117" t="s">
        <v>76</v>
      </c>
      <c r="C248" s="96">
        <v>89007291</v>
      </c>
      <c r="D248" s="113" t="s">
        <v>539</v>
      </c>
      <c r="E248" s="116">
        <v>39142</v>
      </c>
      <c r="F248" s="96" t="s">
        <v>21</v>
      </c>
      <c r="G248" s="96" t="s">
        <v>10</v>
      </c>
      <c r="H248" s="127">
        <v>4.9800000000000004</v>
      </c>
      <c r="I248" s="96" t="s">
        <v>326</v>
      </c>
      <c r="J248" s="96">
        <v>2</v>
      </c>
      <c r="K248" s="97" t="s">
        <v>320</v>
      </c>
      <c r="L248" s="117"/>
    </row>
    <row r="249" spans="1:12" ht="25.5" x14ac:dyDescent="0.2">
      <c r="A249" s="96">
        <v>246</v>
      </c>
      <c r="B249" s="117" t="s">
        <v>76</v>
      </c>
      <c r="C249" s="96">
        <v>18497574</v>
      </c>
      <c r="D249" s="113" t="s">
        <v>540</v>
      </c>
      <c r="E249" s="116">
        <v>38776</v>
      </c>
      <c r="F249" s="96" t="s">
        <v>21</v>
      </c>
      <c r="G249" s="96" t="s">
        <v>11</v>
      </c>
      <c r="H249" s="127">
        <v>4.83</v>
      </c>
      <c r="I249" s="96" t="s">
        <v>338</v>
      </c>
      <c r="J249" s="96">
        <v>2</v>
      </c>
      <c r="K249" s="97" t="s">
        <v>320</v>
      </c>
      <c r="L249" s="117"/>
    </row>
    <row r="250" spans="1:12" ht="25.5" x14ac:dyDescent="0.2">
      <c r="A250" s="96">
        <v>247</v>
      </c>
      <c r="B250" s="117" t="s">
        <v>76</v>
      </c>
      <c r="C250" s="96">
        <v>89001416</v>
      </c>
      <c r="D250" s="113" t="s">
        <v>187</v>
      </c>
      <c r="E250" s="116">
        <v>39664</v>
      </c>
      <c r="F250" s="96" t="s">
        <v>21</v>
      </c>
      <c r="G250" s="96" t="s">
        <v>11</v>
      </c>
      <c r="H250" s="127">
        <v>5</v>
      </c>
      <c r="I250" s="96" t="s">
        <v>326</v>
      </c>
      <c r="J250" s="96">
        <v>2</v>
      </c>
      <c r="K250" s="97" t="s">
        <v>320</v>
      </c>
      <c r="L250" s="117"/>
    </row>
    <row r="251" spans="1:12" x14ac:dyDescent="0.2">
      <c r="A251" s="96">
        <v>248</v>
      </c>
      <c r="B251" s="113" t="s">
        <v>189</v>
      </c>
      <c r="C251" s="96">
        <v>9805077</v>
      </c>
      <c r="D251" s="113" t="s">
        <v>188</v>
      </c>
      <c r="E251" s="116">
        <v>35828</v>
      </c>
      <c r="F251" s="96" t="s">
        <v>110</v>
      </c>
      <c r="G251" s="96" t="s">
        <v>22</v>
      </c>
      <c r="H251" s="96">
        <v>4.95</v>
      </c>
      <c r="I251" s="96" t="s">
        <v>541</v>
      </c>
      <c r="J251" s="96">
        <v>2</v>
      </c>
      <c r="K251" s="97" t="s">
        <v>320</v>
      </c>
      <c r="L251" s="113"/>
    </row>
    <row r="252" spans="1:12" x14ac:dyDescent="0.2">
      <c r="A252" s="96">
        <v>249</v>
      </c>
      <c r="B252" s="113" t="s">
        <v>189</v>
      </c>
      <c r="C252" s="114">
        <v>41957767</v>
      </c>
      <c r="D252" s="115" t="s">
        <v>542</v>
      </c>
      <c r="E252" s="126">
        <v>44963</v>
      </c>
      <c r="F252" s="114" t="s">
        <v>17</v>
      </c>
      <c r="G252" s="96" t="s">
        <v>59</v>
      </c>
      <c r="H252" s="127">
        <v>4.72</v>
      </c>
      <c r="I252" s="96" t="s">
        <v>322</v>
      </c>
      <c r="J252" s="96">
        <v>2</v>
      </c>
      <c r="K252" s="97" t="s">
        <v>320</v>
      </c>
      <c r="L252" s="113"/>
    </row>
    <row r="253" spans="1:12" x14ac:dyDescent="0.2">
      <c r="A253" s="96">
        <v>250</v>
      </c>
      <c r="B253" s="113" t="s">
        <v>54</v>
      </c>
      <c r="C253" s="114">
        <v>24344593</v>
      </c>
      <c r="D253" s="115" t="s">
        <v>543</v>
      </c>
      <c r="E253" s="126">
        <v>44963</v>
      </c>
      <c r="F253" s="114" t="s">
        <v>21</v>
      </c>
      <c r="G253" s="96" t="s">
        <v>22</v>
      </c>
      <c r="H253" s="127">
        <v>4.9400000000000004</v>
      </c>
      <c r="I253" s="96" t="s">
        <v>322</v>
      </c>
      <c r="J253" s="96">
        <v>2</v>
      </c>
      <c r="K253" s="97" t="s">
        <v>320</v>
      </c>
      <c r="L253" s="117"/>
    </row>
    <row r="254" spans="1:12" ht="25.5" x14ac:dyDescent="0.2">
      <c r="A254" s="120">
        <v>251</v>
      </c>
      <c r="B254" s="122" t="s">
        <v>54</v>
      </c>
      <c r="C254" s="120">
        <v>16369647</v>
      </c>
      <c r="D254" s="122" t="s">
        <v>190</v>
      </c>
      <c r="E254" s="123">
        <v>41436</v>
      </c>
      <c r="F254" s="120" t="s">
        <v>21</v>
      </c>
      <c r="G254" s="120" t="s">
        <v>11</v>
      </c>
      <c r="H254" s="129">
        <v>4.45</v>
      </c>
      <c r="I254" s="120" t="s">
        <v>323</v>
      </c>
      <c r="J254" s="120">
        <v>1.6</v>
      </c>
      <c r="K254" s="124" t="s">
        <v>331</v>
      </c>
      <c r="L254" s="121" t="s">
        <v>191</v>
      </c>
    </row>
    <row r="255" spans="1:12" x14ac:dyDescent="0.2">
      <c r="A255" s="96">
        <v>252</v>
      </c>
      <c r="B255" s="113" t="s">
        <v>54</v>
      </c>
      <c r="C255" s="96">
        <v>42144287</v>
      </c>
      <c r="D255" s="113" t="s">
        <v>192</v>
      </c>
      <c r="E255" s="99">
        <v>41872</v>
      </c>
      <c r="F255" s="114" t="s">
        <v>21</v>
      </c>
      <c r="G255" s="96" t="s">
        <v>10</v>
      </c>
      <c r="H255" s="97">
        <v>4.9400000000000004</v>
      </c>
      <c r="I255" s="96" t="s">
        <v>338</v>
      </c>
      <c r="J255" s="96">
        <v>2</v>
      </c>
      <c r="K255" s="97" t="s">
        <v>320</v>
      </c>
      <c r="L255" s="117"/>
    </row>
    <row r="256" spans="1:12" ht="25.5" x14ac:dyDescent="0.2">
      <c r="A256" s="120">
        <v>253</v>
      </c>
      <c r="B256" s="122" t="s">
        <v>54</v>
      </c>
      <c r="C256" s="120">
        <v>41934400</v>
      </c>
      <c r="D256" s="122" t="s">
        <v>544</v>
      </c>
      <c r="E256" s="123">
        <v>40947</v>
      </c>
      <c r="F256" s="120" t="s">
        <v>21</v>
      </c>
      <c r="G256" s="120" t="s">
        <v>10</v>
      </c>
      <c r="H256" s="129">
        <v>4.9800000000000004</v>
      </c>
      <c r="I256" s="120" t="s">
        <v>323</v>
      </c>
      <c r="J256" s="120">
        <v>2</v>
      </c>
      <c r="K256" s="124" t="s">
        <v>331</v>
      </c>
      <c r="L256" s="121" t="s">
        <v>193</v>
      </c>
    </row>
    <row r="257" spans="1:12" x14ac:dyDescent="0.2">
      <c r="A257" s="96">
        <v>254</v>
      </c>
      <c r="B257" s="113" t="s">
        <v>54</v>
      </c>
      <c r="C257" s="96">
        <v>41923129</v>
      </c>
      <c r="D257" s="113" t="s">
        <v>194</v>
      </c>
      <c r="E257" s="116">
        <v>38376</v>
      </c>
      <c r="F257" s="96" t="s">
        <v>21</v>
      </c>
      <c r="G257" s="96" t="s">
        <v>22</v>
      </c>
      <c r="H257" s="97">
        <v>4.93</v>
      </c>
      <c r="I257" s="96" t="s">
        <v>338</v>
      </c>
      <c r="J257" s="96">
        <v>2</v>
      </c>
      <c r="K257" s="97" t="s">
        <v>320</v>
      </c>
      <c r="L257" s="117"/>
    </row>
    <row r="258" spans="1:12" x14ac:dyDescent="0.2">
      <c r="A258" s="96">
        <v>255</v>
      </c>
      <c r="B258" s="113" t="s">
        <v>54</v>
      </c>
      <c r="C258" s="96">
        <v>7562748</v>
      </c>
      <c r="D258" s="113" t="s">
        <v>545</v>
      </c>
      <c r="E258" s="116">
        <v>40203</v>
      </c>
      <c r="F258" s="96" t="s">
        <v>21</v>
      </c>
      <c r="G258" s="96" t="s">
        <v>22</v>
      </c>
      <c r="H258" s="147">
        <v>4.8</v>
      </c>
      <c r="I258" s="96" t="s">
        <v>323</v>
      </c>
      <c r="J258" s="96">
        <v>2</v>
      </c>
      <c r="K258" s="97" t="s">
        <v>320</v>
      </c>
      <c r="L258" s="117"/>
    </row>
    <row r="259" spans="1:12" x14ac:dyDescent="0.2">
      <c r="A259" s="96">
        <v>256</v>
      </c>
      <c r="B259" s="113" t="s">
        <v>54</v>
      </c>
      <c r="C259" s="119">
        <v>79567036</v>
      </c>
      <c r="D259" s="117" t="s">
        <v>546</v>
      </c>
      <c r="E259" s="116">
        <v>43864</v>
      </c>
      <c r="F259" s="96" t="s">
        <v>17</v>
      </c>
      <c r="G259" s="96" t="s">
        <v>10</v>
      </c>
      <c r="H259" s="96">
        <v>4.93</v>
      </c>
      <c r="I259" s="97" t="s">
        <v>322</v>
      </c>
      <c r="J259" s="96">
        <v>2</v>
      </c>
      <c r="K259" s="97" t="s">
        <v>320</v>
      </c>
      <c r="L259" s="117"/>
    </row>
    <row r="260" spans="1:12" x14ac:dyDescent="0.2">
      <c r="A260" s="96">
        <v>257</v>
      </c>
      <c r="B260" s="113" t="s">
        <v>54</v>
      </c>
      <c r="C260" s="96">
        <v>24580571</v>
      </c>
      <c r="D260" s="113" t="s">
        <v>547</v>
      </c>
      <c r="E260" s="116">
        <v>39142</v>
      </c>
      <c r="F260" s="96" t="s">
        <v>21</v>
      </c>
      <c r="G260" s="96" t="s">
        <v>11</v>
      </c>
      <c r="H260" s="127">
        <v>4.76</v>
      </c>
      <c r="I260" s="96" t="s">
        <v>326</v>
      </c>
      <c r="J260" s="96">
        <v>2</v>
      </c>
      <c r="K260" s="97" t="s">
        <v>320</v>
      </c>
      <c r="L260" s="117"/>
    </row>
    <row r="261" spans="1:12" x14ac:dyDescent="0.2">
      <c r="A261" s="96">
        <v>258</v>
      </c>
      <c r="B261" s="113" t="s">
        <v>54</v>
      </c>
      <c r="C261" s="96">
        <v>24347314</v>
      </c>
      <c r="D261" s="113" t="s">
        <v>195</v>
      </c>
      <c r="E261" s="116">
        <v>40947</v>
      </c>
      <c r="F261" s="96" t="s">
        <v>21</v>
      </c>
      <c r="G261" s="96" t="s">
        <v>10</v>
      </c>
      <c r="H261" s="127">
        <v>4.76</v>
      </c>
      <c r="I261" s="96" t="s">
        <v>335</v>
      </c>
      <c r="J261" s="96">
        <v>2</v>
      </c>
      <c r="K261" s="97" t="s">
        <v>320</v>
      </c>
      <c r="L261" s="117"/>
    </row>
    <row r="262" spans="1:12" x14ac:dyDescent="0.2">
      <c r="A262" s="96">
        <v>259</v>
      </c>
      <c r="B262" s="113" t="s">
        <v>197</v>
      </c>
      <c r="C262" s="114">
        <v>18495531</v>
      </c>
      <c r="D262" s="115" t="s">
        <v>196</v>
      </c>
      <c r="E262" s="126">
        <v>44963</v>
      </c>
      <c r="F262" s="114" t="s">
        <v>17</v>
      </c>
      <c r="G262" s="96" t="s">
        <v>59</v>
      </c>
      <c r="H262" s="127">
        <v>4.95</v>
      </c>
      <c r="I262" s="96" t="s">
        <v>322</v>
      </c>
      <c r="J262" s="96">
        <v>2</v>
      </c>
      <c r="K262" s="97" t="s">
        <v>320</v>
      </c>
      <c r="L262" s="117"/>
    </row>
    <row r="263" spans="1:12" x14ac:dyDescent="0.2">
      <c r="A263" s="131">
        <v>260</v>
      </c>
      <c r="B263" s="132" t="s">
        <v>197</v>
      </c>
      <c r="C263" s="139">
        <v>18386170</v>
      </c>
      <c r="D263" s="133" t="s">
        <v>199</v>
      </c>
      <c r="E263" s="134">
        <v>42955</v>
      </c>
      <c r="F263" s="131" t="s">
        <v>17</v>
      </c>
      <c r="G263" s="131" t="s">
        <v>10</v>
      </c>
      <c r="H263" s="131">
        <v>4.87</v>
      </c>
      <c r="I263" s="131" t="s">
        <v>327</v>
      </c>
      <c r="J263" s="131">
        <v>2</v>
      </c>
      <c r="K263" s="135" t="s">
        <v>320</v>
      </c>
      <c r="L263" s="132" t="s">
        <v>354</v>
      </c>
    </row>
    <row r="264" spans="1:12" x14ac:dyDescent="0.2">
      <c r="A264" s="96">
        <v>261</v>
      </c>
      <c r="B264" s="117" t="s">
        <v>197</v>
      </c>
      <c r="C264" s="96">
        <v>10276247</v>
      </c>
      <c r="D264" s="113" t="s">
        <v>200</v>
      </c>
      <c r="E264" s="116">
        <v>40210</v>
      </c>
      <c r="F264" s="96" t="s">
        <v>21</v>
      </c>
      <c r="G264" s="96" t="s">
        <v>11</v>
      </c>
      <c r="H264" s="96">
        <v>4.9800000000000004</v>
      </c>
      <c r="I264" s="96" t="s">
        <v>338</v>
      </c>
      <c r="J264" s="96">
        <v>2</v>
      </c>
      <c r="K264" s="97" t="s">
        <v>320</v>
      </c>
      <c r="L264" s="117"/>
    </row>
    <row r="265" spans="1:12" ht="25.5" x14ac:dyDescent="0.2">
      <c r="A265" s="120">
        <v>262</v>
      </c>
      <c r="B265" s="121" t="s">
        <v>197</v>
      </c>
      <c r="C265" s="145">
        <v>7556508</v>
      </c>
      <c r="D265" s="122" t="s">
        <v>548</v>
      </c>
      <c r="E265" s="123">
        <v>42955</v>
      </c>
      <c r="F265" s="120" t="s">
        <v>17</v>
      </c>
      <c r="G265" s="120" t="s">
        <v>10</v>
      </c>
      <c r="H265" s="129">
        <v>4.97</v>
      </c>
      <c r="I265" s="120" t="s">
        <v>323</v>
      </c>
      <c r="J265" s="120">
        <v>2</v>
      </c>
      <c r="K265" s="124" t="s">
        <v>331</v>
      </c>
      <c r="L265" s="121" t="s">
        <v>201</v>
      </c>
    </row>
    <row r="267" spans="1:12" x14ac:dyDescent="0.2">
      <c r="A267" s="96">
        <v>1</v>
      </c>
      <c r="B267" s="150" t="s">
        <v>549</v>
      </c>
      <c r="C267" s="151" t="s">
        <v>550</v>
      </c>
      <c r="D267" s="152"/>
      <c r="E267" s="152"/>
      <c r="F267" s="152"/>
      <c r="G267" s="152"/>
      <c r="H267" s="152"/>
      <c r="I267" s="152"/>
      <c r="J267" s="152"/>
      <c r="K267" s="152"/>
    </row>
    <row r="268" spans="1:12" x14ac:dyDescent="0.2">
      <c r="A268" s="96">
        <v>2</v>
      </c>
      <c r="B268" s="153" t="s">
        <v>551</v>
      </c>
      <c r="C268" s="397" t="s">
        <v>552</v>
      </c>
      <c r="D268" s="398"/>
      <c r="E268" s="398"/>
      <c r="F268" s="398"/>
      <c r="G268" s="398"/>
      <c r="H268" s="398"/>
      <c r="I268" s="398"/>
      <c r="J268" s="398"/>
      <c r="K268" s="398"/>
      <c r="L268" s="29"/>
    </row>
    <row r="269" spans="1:12" x14ac:dyDescent="0.2">
      <c r="A269" s="96">
        <v>3</v>
      </c>
      <c r="B269" s="154" t="s">
        <v>553</v>
      </c>
      <c r="C269" s="397" t="s">
        <v>554</v>
      </c>
      <c r="D269" s="398"/>
      <c r="E269" s="398"/>
      <c r="F269" s="398"/>
      <c r="G269" s="398"/>
      <c r="H269" s="398"/>
      <c r="I269" s="398"/>
      <c r="J269" s="398"/>
      <c r="K269" s="398"/>
      <c r="L269" s="29"/>
    </row>
    <row r="270" spans="1:12" x14ac:dyDescent="0.2">
      <c r="A270" s="91"/>
      <c r="B270" s="29"/>
      <c r="C270" s="91"/>
      <c r="D270" s="155"/>
      <c r="F270" s="30"/>
      <c r="G270" s="91"/>
      <c r="H270" s="91"/>
      <c r="I270" s="90"/>
      <c r="J270" s="90"/>
      <c r="K270" s="29"/>
      <c r="L270" s="29"/>
    </row>
    <row r="271" spans="1:12" x14ac:dyDescent="0.2">
      <c r="A271" s="155" t="s">
        <v>555</v>
      </c>
      <c r="B271" s="29"/>
      <c r="C271" s="91"/>
      <c r="D271" s="155"/>
      <c r="F271" s="30"/>
      <c r="G271" s="91"/>
      <c r="H271" s="91"/>
      <c r="I271" s="90"/>
      <c r="J271" s="90"/>
      <c r="K271" s="29"/>
      <c r="L271" s="29"/>
    </row>
    <row r="272" spans="1:12" x14ac:dyDescent="0.2">
      <c r="A272" s="155"/>
      <c r="B272" s="29"/>
      <c r="C272" s="91"/>
      <c r="D272" s="155"/>
      <c r="F272" s="30"/>
      <c r="G272" s="91"/>
      <c r="H272" s="91"/>
      <c r="I272" s="90"/>
      <c r="J272" s="90"/>
      <c r="K272" s="29"/>
      <c r="L272" s="29"/>
    </row>
    <row r="273" spans="1:12" x14ac:dyDescent="0.2">
      <c r="A273" s="155"/>
      <c r="B273" s="29"/>
      <c r="C273" s="29"/>
      <c r="D273" s="91"/>
      <c r="E273" s="155"/>
      <c r="G273" s="30"/>
      <c r="H273" s="91"/>
      <c r="I273" s="91"/>
      <c r="J273" s="90"/>
      <c r="K273" s="90"/>
      <c r="L273" s="29"/>
    </row>
    <row r="274" spans="1:12" x14ac:dyDescent="0.2">
      <c r="A274" s="91"/>
      <c r="B274" s="29"/>
      <c r="C274" s="29"/>
      <c r="D274" s="91" t="s">
        <v>556</v>
      </c>
      <c r="E274" s="91"/>
      <c r="G274" s="30"/>
      <c r="H274" s="359" t="s">
        <v>89</v>
      </c>
      <c r="I274" s="359"/>
      <c r="J274" s="359"/>
      <c r="K274" s="359"/>
    </row>
    <row r="275" spans="1:12" x14ac:dyDescent="0.2">
      <c r="C275" s="360" t="s">
        <v>14</v>
      </c>
      <c r="D275" s="360"/>
      <c r="E275" s="360"/>
      <c r="F275" s="156"/>
      <c r="G275" s="34"/>
      <c r="H275" s="399" t="s">
        <v>18</v>
      </c>
      <c r="I275" s="399"/>
      <c r="J275" s="399"/>
      <c r="K275" s="399"/>
    </row>
    <row r="276" spans="1:12" x14ac:dyDescent="0.2">
      <c r="C276" s="33"/>
      <c r="D276" s="90" t="s">
        <v>62</v>
      </c>
      <c r="E276" s="90"/>
      <c r="F276" s="34"/>
      <c r="G276" s="34"/>
      <c r="H276" s="359" t="s">
        <v>20</v>
      </c>
      <c r="I276" s="359"/>
      <c r="J276" s="359"/>
      <c r="K276" s="359"/>
    </row>
    <row r="277" spans="1:12" x14ac:dyDescent="0.2">
      <c r="C277" s="33"/>
      <c r="D277" s="90" t="s">
        <v>15</v>
      </c>
      <c r="E277" s="90"/>
      <c r="F277" s="34"/>
      <c r="G277" s="34"/>
      <c r="H277" s="33"/>
      <c r="I277" s="356" t="s">
        <v>16</v>
      </c>
      <c r="J277" s="356"/>
      <c r="L277" s="29"/>
    </row>
    <row r="278" spans="1:12" x14ac:dyDescent="0.2">
      <c r="A278" s="91"/>
      <c r="B278" s="29"/>
      <c r="C278" s="91"/>
      <c r="D278" s="29"/>
      <c r="F278" s="30"/>
      <c r="G278" s="91"/>
      <c r="H278" s="91"/>
      <c r="I278" s="91"/>
      <c r="J278" s="91"/>
      <c r="K278" s="90"/>
      <c r="L278" s="29"/>
    </row>
    <row r="279" spans="1:12" x14ac:dyDescent="0.2">
      <c r="A279" s="91"/>
      <c r="B279" s="29"/>
      <c r="C279" s="91"/>
      <c r="D279" s="29"/>
      <c r="F279" s="30"/>
      <c r="G279" s="91"/>
      <c r="H279" s="91"/>
      <c r="I279" s="91"/>
      <c r="J279" s="91"/>
      <c r="K279" s="90"/>
      <c r="L279" s="29"/>
    </row>
  </sheetData>
  <mergeCells count="9">
    <mergeCell ref="H276:K276"/>
    <mergeCell ref="I277:J277"/>
    <mergeCell ref="A1:L1"/>
    <mergeCell ref="A2:L2"/>
    <mergeCell ref="C268:K268"/>
    <mergeCell ref="C269:K269"/>
    <mergeCell ref="H274:K274"/>
    <mergeCell ref="C275:E275"/>
    <mergeCell ref="H275:K275"/>
  </mergeCells>
  <pageMargins left="0.70866141732283472" right="0.70866141732283472" top="0.74803149606299213" bottom="0.74803149606299213" header="0.31496062992125984" footer="0.31496062992125984"/>
  <pageSetup paperSize="258"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7</vt:i4>
      </vt:variant>
    </vt:vector>
  </HeadingPairs>
  <TitlesOfParts>
    <vt:vector size="25" baseType="lpstr">
      <vt:lpstr>Titulo</vt:lpstr>
      <vt:lpstr>Ascenso_Categoria</vt:lpstr>
      <vt:lpstr>Pub_Rev_Index</vt:lpstr>
      <vt:lpstr>Prod_Videos</vt:lpstr>
      <vt:lpstr>Libro_Texto</vt:lpstr>
      <vt:lpstr>Libro_Ensayo</vt:lpstr>
      <vt:lpstr>Libro_Res_Investigacion</vt:lpstr>
      <vt:lpstr>Premios</vt:lpstr>
      <vt:lpstr>Patentes</vt:lpstr>
      <vt:lpstr>Obras_Artisticas</vt:lpstr>
      <vt:lpstr>Prod_Tecnica</vt:lpstr>
      <vt:lpstr>Prod_Software</vt:lpstr>
      <vt:lpstr>DAA</vt:lpstr>
      <vt:lpstr>DDD_Auxiliar</vt:lpstr>
      <vt:lpstr>DDD_Asistente</vt:lpstr>
      <vt:lpstr>DDD_Asociado</vt:lpstr>
      <vt:lpstr>DDD_Titular</vt:lpstr>
      <vt:lpstr>Exp_Calificada</vt:lpstr>
      <vt:lpstr>Ascenso_Categoria!Títulos_a_imprimir</vt:lpstr>
      <vt:lpstr>DAA!Títulos_a_imprimir</vt:lpstr>
      <vt:lpstr>Exp_Calificada!Títulos_a_imprimir</vt:lpstr>
      <vt:lpstr>Libro_Ensayo!Títulos_a_imprimir</vt:lpstr>
      <vt:lpstr>Libro_Texto!Títulos_a_imprimir</vt:lpstr>
      <vt:lpstr>Prod_Tecnica!Títulos_a_imprimir</vt:lpstr>
      <vt:lpstr>Pub_Rev_Index!Títulos_a_imprimir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2026-10-11T18:37:36Z</dcterms:modified>
</cp:coreProperties>
</file>